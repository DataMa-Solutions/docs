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DB\Desktop\"/>
    </mc:Choice>
  </mc:AlternateContent>
  <xr:revisionPtr revIDLastSave="0" documentId="13_ncr:1_{E7FA71C9-68FE-42E4-B79E-23EA9E329254}" xr6:coauthVersionLast="38" xr6:coauthVersionMax="38" xr10:uidLastSave="{00000000-0000-0000-0000-000000000000}"/>
  <bookViews>
    <workbookView xWindow="0" yWindow="0" windowWidth="13125" windowHeight="6105" xr2:uid="{00000000-000D-0000-FFFF-FFFF00000000}"/>
  </bookViews>
  <sheets>
    <sheet name="Dashboard" sheetId="8" r:id="rId1"/>
    <sheet name="Waterfall - init" sheetId="2" r:id="rId2"/>
    <sheet name="Summary - init" sheetId="3" r:id="rId3"/>
    <sheet name="Detailed - init" sheetId="4" r:id="rId4"/>
    <sheet name="Mix - init" sheetId="12" r:id="rId5"/>
    <sheet name="Max - init" sheetId="6" r:id="rId6"/>
    <sheet name="Min - init" sheetId="7" r:id="rId7"/>
    <sheet name="Waterfall" sheetId="13" r:id="rId8"/>
    <sheet name="Summary" sheetId="14" r:id="rId9"/>
    <sheet name="Detailed" sheetId="15" r:id="rId10"/>
    <sheet name="Mix" sheetId="16" r:id="rId11"/>
    <sheet name="Max" sheetId="17" r:id="rId12"/>
    <sheet name="Min" sheetId="18" r:id="rId13"/>
  </sheets>
  <definedNames>
    <definedName name="_xlnm.Print_Area" localSheetId="0">Dashboard!$B$6:$R$59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<sst xmlns="http://schemas.openxmlformats.org/spreadsheetml/2006/main" count="1240" uniqueCount="415">
  <si>
    <t>Step_Number</t>
  </si>
  <si>
    <t>Step_Name</t>
  </si>
  <si>
    <t>Num_Start</t>
  </si>
  <si>
    <t>Denom_Start</t>
  </si>
  <si>
    <t>Num_End</t>
  </si>
  <si>
    <t>Denom_End</t>
  </si>
  <si>
    <t>RatioStart</t>
  </si>
  <si>
    <t>RatioEnd</t>
  </si>
  <si>
    <t>RedistributedGap</t>
  </si>
  <si>
    <t>RelativeChange</t>
  </si>
  <si>
    <t>BpsDelta</t>
  </si>
  <si>
    <t>values</t>
  </si>
  <si>
    <t>totals</t>
  </si>
  <si>
    <t>blank</t>
  </si>
  <si>
    <t>up_pos</t>
  </si>
  <si>
    <t>up_neg</t>
  </si>
  <si>
    <t>down_pos</t>
  </si>
  <si>
    <t>down_neg</t>
  </si>
  <si>
    <t>Start</t>
  </si>
  <si>
    <t>Users</t>
  </si>
  <si>
    <t>Session/ User</t>
  </si>
  <si>
    <t>Checkout/ Session</t>
  </si>
  <si>
    <t>Purchase/ Checkout</t>
  </si>
  <si>
    <t>Revenue/ Purchase</t>
  </si>
  <si>
    <t>End</t>
  </si>
  <si>
    <t>id</t>
  </si>
  <si>
    <t>type</t>
  </si>
  <si>
    <t>start</t>
  </si>
  <si>
    <t>end</t>
  </si>
  <si>
    <t>Step</t>
  </si>
  <si>
    <t>Cluster</t>
  </si>
  <si>
    <t>DimensionNames</t>
  </si>
  <si>
    <t>MixDriver_Scaled</t>
  </si>
  <si>
    <t>Segment_Biggest</t>
  </si>
  <si>
    <t>RatioDriver_Scaled_Biggest</t>
  </si>
  <si>
    <t>TotalDriver_Scaled</t>
  </si>
  <si>
    <t>start_mix</t>
  </si>
  <si>
    <t>end_mix</t>
  </si>
  <si>
    <t>start_SegPerf</t>
  </si>
  <si>
    <t>end_SegPerf</t>
  </si>
  <si>
    <t>start_remaining</t>
  </si>
  <si>
    <t>end_remaining</t>
  </si>
  <si>
    <t>Step1</t>
  </si>
  <si>
    <t>Cluster__1</t>
  </si>
  <si>
    <t>Medium</t>
  </si>
  <si>
    <t>referral (x2.01)</t>
  </si>
  <si>
    <t>Step2</t>
  </si>
  <si>
    <t>Cluster__4</t>
  </si>
  <si>
    <t>Gender</t>
  </si>
  <si>
    <t>female (x11.63)</t>
  </si>
  <si>
    <t>Step3</t>
  </si>
  <si>
    <t>organic (x2.43)</t>
  </si>
  <si>
    <t>Step4</t>
  </si>
  <si>
    <t>male (x2.3)</t>
  </si>
  <si>
    <t>Step5</t>
  </si>
  <si>
    <t>Cluster__3</t>
  </si>
  <si>
    <t>Landing.Page</t>
  </si>
  <si>
    <t>/google+redesign/nest/nest-usa (x5.04)</t>
  </si>
  <si>
    <t>Segment</t>
  </si>
  <si>
    <t>NumStart</t>
  </si>
  <si>
    <t>DenomStart</t>
  </si>
  <si>
    <t>NumEnd</t>
  </si>
  <si>
    <t>DenomEnd</t>
  </si>
  <si>
    <t>MixStart</t>
  </si>
  <si>
    <t>MixEnd</t>
  </si>
  <si>
    <t>MixDelta</t>
  </si>
  <si>
    <t>RatioPercentCh</t>
  </si>
  <si>
    <t>RatioDriver</t>
  </si>
  <si>
    <t>MixDriver</t>
  </si>
  <si>
    <t>BothDriver</t>
  </si>
  <si>
    <t>TotalDriver</t>
  </si>
  <si>
    <t>RatioDriver_Scaled</t>
  </si>
  <si>
    <t>BothDriver_Scaled</t>
  </si>
  <si>
    <t>organic</t>
  </si>
  <si>
    <t>referral</t>
  </si>
  <si>
    <t>(none)</t>
  </si>
  <si>
    <t>Other</t>
  </si>
  <si>
    <t>Medium_Mix</t>
  </si>
  <si>
    <t>Device.Category_Mix</t>
  </si>
  <si>
    <t>Landing.Page_Mix</t>
  </si>
  <si>
    <t>Gender_Mix</t>
  </si>
  <si>
    <t>Combined_Dimension_Mix</t>
  </si>
  <si>
    <t>StepNames</t>
  </si>
  <si>
    <t>NumStartTotal</t>
  </si>
  <si>
    <t>NumEndTotal</t>
  </si>
  <si>
    <t>DenomStartTotal</t>
  </si>
  <si>
    <t>DenomEndTotal</t>
  </si>
  <si>
    <t>RatioDriverTotal</t>
  </si>
  <si>
    <t>StepGap</t>
  </si>
  <si>
    <t>StepCoefficient</t>
  </si>
  <si>
    <t>DimensionNumber</t>
  </si>
  <si>
    <t>StepNumber</t>
  </si>
  <si>
    <t>SegmentTitle</t>
  </si>
  <si>
    <t>Max_RatioDriver_Scaled</t>
  </si>
  <si>
    <t>StepDimension</t>
  </si>
  <si>
    <t>Step0</t>
  </si>
  <si>
    <t>Combined_Dimension</t>
  </si>
  <si>
    <t>Other (x-0.74)</t>
  </si>
  <si>
    <t>Step1Medium</t>
  </si>
  <si>
    <t>Device.Category</t>
  </si>
  <si>
    <t>Cluster__2</t>
  </si>
  <si>
    <t>Other (x0.12)</t>
  </si>
  <si>
    <t>Step1Device.Category</t>
  </si>
  <si>
    <t>/google+redesign/nest/nest-usa</t>
  </si>
  <si>
    <t>/google+redesign/nest/nest-usa (x4.18)</t>
  </si>
  <si>
    <t>Step1Landing.Page</t>
  </si>
  <si>
    <t>female</t>
  </si>
  <si>
    <t>female (x0.2)</t>
  </si>
  <si>
    <t>Step1Gender</t>
  </si>
  <si>
    <t>Cluster__5</t>
  </si>
  <si>
    <t>organic_desktop_/home_female</t>
  </si>
  <si>
    <t>organic_desktop_/home_female (x-0.92)</t>
  </si>
  <si>
    <t>Step1Combined_Dimension</t>
  </si>
  <si>
    <t>(none) (x-4.68)</t>
  </si>
  <si>
    <t>Step2Medium</t>
  </si>
  <si>
    <t>Other (x-0.33)</t>
  </si>
  <si>
    <t>Step2Device.Category</t>
  </si>
  <si>
    <t>/google+redesign/nest/nest-usa (x-7.08)</t>
  </si>
  <si>
    <t>Step2Landing.Page</t>
  </si>
  <si>
    <t>male</t>
  </si>
  <si>
    <t>male (x-2.95)</t>
  </si>
  <si>
    <t>Step2Gender</t>
  </si>
  <si>
    <t>organic_desktop_/home_male</t>
  </si>
  <si>
    <t>organic_desktop_/home_male (x-0.42)</t>
  </si>
  <si>
    <t>Step2Combined_Dimension</t>
  </si>
  <si>
    <t>Other (x-0.55)</t>
  </si>
  <si>
    <t>Step3Medium</t>
  </si>
  <si>
    <t>Other (x1.93)</t>
  </si>
  <si>
    <t>Step3Device.Category</t>
  </si>
  <si>
    <t>/google+redesign/nest/nest-usa (x0.44)</t>
  </si>
  <si>
    <t>Step3Landing.Page</t>
  </si>
  <si>
    <t>female (x1.36)</t>
  </si>
  <si>
    <t>Step3Gender</t>
  </si>
  <si>
    <t>referral_desktop_Other_male</t>
  </si>
  <si>
    <t>referral_desktop_Other_male (x-13.03)</t>
  </si>
  <si>
    <t>Step3Combined_Dimension</t>
  </si>
  <si>
    <t>referral (x-1.32)</t>
  </si>
  <si>
    <t>Step4Medium</t>
  </si>
  <si>
    <t>desktop</t>
  </si>
  <si>
    <t>desktop (x1.11)</t>
  </si>
  <si>
    <t>Step4Device.Category</t>
  </si>
  <si>
    <t>/home</t>
  </si>
  <si>
    <t>/home (x0.79)</t>
  </si>
  <si>
    <t>Step4Landing.Page</t>
  </si>
  <si>
    <t>Step4Gender</t>
  </si>
  <si>
    <t>referral_desktop_/home_male</t>
  </si>
  <si>
    <t>referral_desktop_/home_male (x-1.19)</t>
  </si>
  <si>
    <t>Step4Combined_Dimension</t>
  </si>
  <si>
    <t>referral (x2.46)</t>
  </si>
  <si>
    <t>Step5Medium</t>
  </si>
  <si>
    <t>desktop (x0.97)</t>
  </si>
  <si>
    <t>Step5Device.Category</t>
  </si>
  <si>
    <t>Step5Landing.Page</t>
  </si>
  <si>
    <t>male (x1.85)</t>
  </si>
  <si>
    <t>Step5Gender</t>
  </si>
  <si>
    <t>referral_desktop_/google+redesign/nest/nest-usa_male</t>
  </si>
  <si>
    <t>referral_desktop_/google+redesign/nest/nest-usa_male (x25.75)</t>
  </si>
  <si>
    <t>Step5Combined_Dimension</t>
  </si>
  <si>
    <t>Step6</t>
  </si>
  <si>
    <t>Revenue (Total)</t>
  </si>
  <si>
    <t>Other (x-6.82)</t>
  </si>
  <si>
    <t>Step6Medium</t>
  </si>
  <si>
    <t>Other (x0.36)</t>
  </si>
  <si>
    <t>Step6Device.Category</t>
  </si>
  <si>
    <t>Other (x2.72)</t>
  </si>
  <si>
    <t>Step6Landing.Page</t>
  </si>
  <si>
    <t>female (x1.71)</t>
  </si>
  <si>
    <t>Step6Gender</t>
  </si>
  <si>
    <t>(none)_desktop_/home_female</t>
  </si>
  <si>
    <t>(none)_desktop_/home_female (x-Inf)</t>
  </si>
  <si>
    <t>Step6Combined_Dimension</t>
  </si>
  <si>
    <t>Min_RatioDriver_Scaled</t>
  </si>
  <si>
    <t>desktop (x1.3)</t>
  </si>
  <si>
    <t>Other (x1.91)</t>
  </si>
  <si>
    <t>male (x1.29)</t>
  </si>
  <si>
    <t>referral_desktop_Other_male (x2.04)</t>
  </si>
  <si>
    <t>referral (x3.87)</t>
  </si>
  <si>
    <t>desktop (x1.47)</t>
  </si>
  <si>
    <t>referral_Other_Other_male</t>
  </si>
  <si>
    <t>referral_Other_Other_male (x53)</t>
  </si>
  <si>
    <t>desktop (x0.94)</t>
  </si>
  <si>
    <t>/home (x1.14)</t>
  </si>
  <si>
    <t>male (x0.88)</t>
  </si>
  <si>
    <t>referral_desktop_/home_male (x0.6)</t>
  </si>
  <si>
    <t>organic (x11.49)</t>
  </si>
  <si>
    <t>Other (x-3.31)</t>
  </si>
  <si>
    <t>Other (x-5.06)</t>
  </si>
  <si>
    <t>female (x-2.65)</t>
  </si>
  <si>
    <t>(none)_desktop_Other_male</t>
  </si>
  <si>
    <t>(none)_desktop_Other_male (x39.47)</t>
  </si>
  <si>
    <t>organic (x-8.62)</t>
  </si>
  <si>
    <t>Other (x9.95)</t>
  </si>
  <si>
    <t>Other (x-5.26)</t>
  </si>
  <si>
    <t>female (x-1.27)</t>
  </si>
  <si>
    <t>organic_desktop_/home_female (x-45.05)</t>
  </si>
  <si>
    <t>referral (x0.75)</t>
  </si>
  <si>
    <t>desktop (x1)</t>
  </si>
  <si>
    <t>/home (x0.98)</t>
  </si>
  <si>
    <t>male (x0.73)</t>
  </si>
  <si>
    <t>referral_desktop_/home_male (x0.63)</t>
  </si>
  <si>
    <t>This is default excel template for DataMa Compare</t>
  </si>
  <si>
    <t>© DataMa.Fr</t>
  </si>
  <si>
    <t>Feel free to modify charts as need be</t>
  </si>
  <si>
    <t>Enable Macro and use Ctrl+Shift+U to execute switch_source macro</t>
  </si>
  <si>
    <t>Step 0</t>
  </si>
  <si>
    <t>Step_Number</t>
  </si>
  <si>
    <t>Step_Name</t>
  </si>
  <si>
    <t>Num_Start</t>
  </si>
  <si>
    <t>Denom_Start</t>
  </si>
  <si>
    <t>Num_End</t>
  </si>
  <si>
    <t>Denom_End</t>
  </si>
  <si>
    <t>RatioStart</t>
  </si>
  <si>
    <t>RatioEnd</t>
  </si>
  <si>
    <t>RedistributedGap</t>
  </si>
  <si>
    <t>RelativeChange</t>
  </si>
  <si>
    <t>BpsDelta</t>
  </si>
  <si>
    <t>values</t>
  </si>
  <si>
    <t>totals</t>
  </si>
  <si>
    <t>blank</t>
  </si>
  <si>
    <t>up_pos</t>
  </si>
  <si>
    <t>up_neg</t>
  </si>
  <si>
    <t>down_pos</t>
  </si>
  <si>
    <t>down_neg</t>
  </si>
  <si>
    <t>Step 0</t>
  </si>
  <si>
    <t>Start</t>
  </si>
  <si>
    <t>Step 1</t>
  </si>
  <si>
    <t>Users</t>
  </si>
  <si>
    <t>Step 2</t>
  </si>
  <si>
    <t>Session/ User</t>
  </si>
  <si>
    <t>Step 3</t>
  </si>
  <si>
    <t>Checkout/ Session</t>
  </si>
  <si>
    <t>Step 4</t>
  </si>
  <si>
    <t>Purchase/ Checkout</t>
  </si>
  <si>
    <t>Step 5</t>
  </si>
  <si>
    <t>Revenue/ Purchase</t>
  </si>
  <si>
    <t>Step 6</t>
  </si>
  <si>
    <t>End</t>
  </si>
  <si>
    <t>id</t>
  </si>
  <si>
    <t>type</t>
  </si>
  <si>
    <t>start</t>
  </si>
  <si>
    <t>end</t>
  </si>
  <si>
    <t>Step</t>
  </si>
  <si>
    <t>Cluster</t>
  </si>
  <si>
    <t>DimensionNames</t>
  </si>
  <si>
    <t>MixDriver_Scaled</t>
  </si>
  <si>
    <t>Segment_Biggest</t>
  </si>
  <si>
    <t>RatioDriver_Scaled_Biggest</t>
  </si>
  <si>
    <t>TotalDriver_Scaled</t>
  </si>
  <si>
    <t>start_mix</t>
  </si>
  <si>
    <t>end_mix</t>
  </si>
  <si>
    <t>start_SegPerf</t>
  </si>
  <si>
    <t>end_SegPerf</t>
  </si>
  <si>
    <t>start_remaining</t>
  </si>
  <si>
    <t>end_remaining</t>
  </si>
  <si>
    <t>net</t>
  </si>
  <si>
    <t>out</t>
  </si>
  <si>
    <t>Step1</t>
  </si>
  <si>
    <t>Cluster__1</t>
  </si>
  <si>
    <t>Medium</t>
  </si>
  <si>
    <t>referral (x2.01)</t>
  </si>
  <si>
    <t>Step2</t>
  </si>
  <si>
    <t>Cluster__4</t>
  </si>
  <si>
    <t>Gender</t>
  </si>
  <si>
    <t>female (x11.63)</t>
  </si>
  <si>
    <t>Step3</t>
  </si>
  <si>
    <t>organic (x2.43)</t>
  </si>
  <si>
    <t>in</t>
  </si>
  <si>
    <t>Step4</t>
  </si>
  <si>
    <t>male (x2.3)</t>
  </si>
  <si>
    <t>Step5</t>
  </si>
  <si>
    <t>Cluster__3</t>
  </si>
  <si>
    <t>Landing.Page</t>
  </si>
  <si>
    <t>/google+redesign/nest/nest-usa (x5.04)</t>
  </si>
  <si>
    <t>Segment</t>
  </si>
  <si>
    <t>NumStart</t>
  </si>
  <si>
    <t>DenomStart</t>
  </si>
  <si>
    <t>NumEnd</t>
  </si>
  <si>
    <t>DenomEnd</t>
  </si>
  <si>
    <t>MixStart</t>
  </si>
  <si>
    <t>MixEnd</t>
  </si>
  <si>
    <t>MixDelta</t>
  </si>
  <si>
    <t>RatioPercentCh</t>
  </si>
  <si>
    <t>RatioDriver</t>
  </si>
  <si>
    <t>MixDriver</t>
  </si>
  <si>
    <t>BothDriver</t>
  </si>
  <si>
    <t>TotalDriver</t>
  </si>
  <si>
    <t>RatioDriver_Scaled</t>
  </si>
  <si>
    <t>BothDriver_Scaled</t>
  </si>
  <si>
    <t>organic</t>
  </si>
  <si>
    <t>referral</t>
  </si>
  <si>
    <t>(none)</t>
  </si>
  <si>
    <t>Other</t>
  </si>
  <si>
    <t>Medium_Mix</t>
  </si>
  <si>
    <t>Device.Category_Mix</t>
  </si>
  <si>
    <t>Landing.Page_Mix</t>
  </si>
  <si>
    <t>Gender_Mix</t>
  </si>
  <si>
    <t>Combined_Dimension_Mix</t>
  </si>
  <si>
    <t>StepNames</t>
  </si>
  <si>
    <t>NumStartTotal</t>
  </si>
  <si>
    <t>NumEndTotal</t>
  </si>
  <si>
    <t>DenomStartTotal</t>
  </si>
  <si>
    <t>DenomEndTotal</t>
  </si>
  <si>
    <t>RatioDriverTotal</t>
  </si>
  <si>
    <t>StepGap</t>
  </si>
  <si>
    <t>StepCoefficient</t>
  </si>
  <si>
    <t>DimensionNumber</t>
  </si>
  <si>
    <t>StepNumber</t>
  </si>
  <si>
    <t>SegmentTitle</t>
  </si>
  <si>
    <t>Max_RatioDriver_Scaled</t>
  </si>
  <si>
    <t>StepDimension</t>
  </si>
  <si>
    <t>Step0</t>
  </si>
  <si>
    <t>Combined_Dimension</t>
  </si>
  <si>
    <t>Other (x-0.74)</t>
  </si>
  <si>
    <t>Step1Medium</t>
  </si>
  <si>
    <t>Device.Category</t>
  </si>
  <si>
    <t>Cluster__2</t>
  </si>
  <si>
    <t>Other (x0.12)</t>
  </si>
  <si>
    <t>Step1Device.Category</t>
  </si>
  <si>
    <t>/google+redesign/nest/nest-usa</t>
  </si>
  <si>
    <t>/google+redesign/nest/nest-usa (x4.18)</t>
  </si>
  <si>
    <t>Step1Landing.Page</t>
  </si>
  <si>
    <t>female</t>
  </si>
  <si>
    <t>female (x0.2)</t>
  </si>
  <si>
    <t>Step1Gender</t>
  </si>
  <si>
    <t>Cluster__5</t>
  </si>
  <si>
    <t>organic_desktop_/home_female</t>
  </si>
  <si>
    <t>organic_desktop_/home_female (x-0.92)</t>
  </si>
  <si>
    <t>Step1Combined_Dimension</t>
  </si>
  <si>
    <t>(none) (x-4.68)</t>
  </si>
  <si>
    <t>Step2Medium</t>
  </si>
  <si>
    <t>Other (x-0.33)</t>
  </si>
  <si>
    <t>Step2Device.Category</t>
  </si>
  <si>
    <t>/google+redesign/nest/nest-usa (x-7.08)</t>
  </si>
  <si>
    <t>Step2Landing.Page</t>
  </si>
  <si>
    <t>male</t>
  </si>
  <si>
    <t>male (x-2.95)</t>
  </si>
  <si>
    <t>Step2Gender</t>
  </si>
  <si>
    <t>organic_desktop_/home_male</t>
  </si>
  <si>
    <t>organic_desktop_/home_male (x-0.42)</t>
  </si>
  <si>
    <t>Step2Combined_Dimension</t>
  </si>
  <si>
    <t>Other (x-0.55)</t>
  </si>
  <si>
    <t>Step3Medium</t>
  </si>
  <si>
    <t>Other (x1.93)</t>
  </si>
  <si>
    <t>Step3Device.Category</t>
  </si>
  <si>
    <t>/google+redesign/nest/nest-usa (x0.44)</t>
  </si>
  <si>
    <t>Step3Landing.Page</t>
  </si>
  <si>
    <t>female (x1.36)</t>
  </si>
  <si>
    <t>Step3Gender</t>
  </si>
  <si>
    <t>referral_desktop_Other_male</t>
  </si>
  <si>
    <t>referral_desktop_Other_male (x-13.03)</t>
  </si>
  <si>
    <t>Step3Combined_Dimension</t>
  </si>
  <si>
    <t>referral (x-1.32)</t>
  </si>
  <si>
    <t>Step4Medium</t>
  </si>
  <si>
    <t>desktop</t>
  </si>
  <si>
    <t>desktop (x1.11)</t>
  </si>
  <si>
    <t>Step4Device.Category</t>
  </si>
  <si>
    <t>/home</t>
  </si>
  <si>
    <t>/home (x0.79)</t>
  </si>
  <si>
    <t>Step4Landing.Page</t>
  </si>
  <si>
    <t>Step4Gender</t>
  </si>
  <si>
    <t>referral_desktop_/home_male</t>
  </si>
  <si>
    <t>referral_desktop_/home_male (x-1.19)</t>
  </si>
  <si>
    <t>Step4Combined_Dimension</t>
  </si>
  <si>
    <t>referral (x2.46)</t>
  </si>
  <si>
    <t>Step5Medium</t>
  </si>
  <si>
    <t>desktop (x0.97)</t>
  </si>
  <si>
    <t>Step5Device.Category</t>
  </si>
  <si>
    <t>Step5Landing.Page</t>
  </si>
  <si>
    <t>male (x1.85)</t>
  </si>
  <si>
    <t>Step5Gender</t>
  </si>
  <si>
    <t>referral_desktop_/google+redesign/nest/nest-usa_male</t>
  </si>
  <si>
    <t>referral_desktop_/google+redesign/nest/nest-usa_male (x25.75)</t>
  </si>
  <si>
    <t>Step5Combined_Dimension</t>
  </si>
  <si>
    <t>Step6</t>
  </si>
  <si>
    <t>Revenue (Total)</t>
  </si>
  <si>
    <t>Other (x-6.82)</t>
  </si>
  <si>
    <t>Step6Medium</t>
  </si>
  <si>
    <t>Other (x0.36)</t>
  </si>
  <si>
    <t>Step6Device.Category</t>
  </si>
  <si>
    <t>Other (x2.72)</t>
  </si>
  <si>
    <t>Step6Landing.Page</t>
  </si>
  <si>
    <t>female (x1.71)</t>
  </si>
  <si>
    <t>Step6Gender</t>
  </si>
  <si>
    <t>(none)_desktop_/home_female</t>
  </si>
  <si>
    <t>(none)_desktop_/home_female (x-Inf)</t>
  </si>
  <si>
    <t>Step6Combined_Dimension</t>
  </si>
  <si>
    <t>Min_RatioDriver_Scaled</t>
  </si>
  <si>
    <t>desktop (x1.3)</t>
  </si>
  <si>
    <t>Other (x1.91)</t>
  </si>
  <si>
    <t>male (x1.29)</t>
  </si>
  <si>
    <t>referral_desktop_Other_male (x2.04)</t>
  </si>
  <si>
    <t>referral (x3.87)</t>
  </si>
  <si>
    <t>desktop (x1.47)</t>
  </si>
  <si>
    <t>referral_Other_Other_male</t>
  </si>
  <si>
    <t>referral_Other_Other_male (x53)</t>
  </si>
  <si>
    <t>desktop (x0.94)</t>
  </si>
  <si>
    <t>/home (x1.14)</t>
  </si>
  <si>
    <t>male (x0.88)</t>
  </si>
  <si>
    <t>referral_desktop_/home_male (x0.6)</t>
  </si>
  <si>
    <t>organic (x11.49)</t>
  </si>
  <si>
    <t>Other (x-3.31)</t>
  </si>
  <si>
    <t>Other (x-5.06)</t>
  </si>
  <si>
    <t>female (x-2.65)</t>
  </si>
  <si>
    <t>(none)_desktop_Other_male</t>
  </si>
  <si>
    <t>(none)_desktop_Other_male (x39.47)</t>
  </si>
  <si>
    <t>organic (x-8.62)</t>
  </si>
  <si>
    <t>Other (x9.95)</t>
  </si>
  <si>
    <t>Other (x-5.26)</t>
  </si>
  <si>
    <t>female (x-1.27)</t>
  </si>
  <si>
    <t>organic_desktop_/home_female (x-45.05)</t>
  </si>
  <si>
    <t>referral (x0.75)</t>
  </si>
  <si>
    <t>desktop (x1)</t>
  </si>
  <si>
    <t>/home (x0.98)</t>
  </si>
  <si>
    <t>male (x0.73)</t>
  </si>
  <si>
    <t>referral_desktop_/home_male (x0.63)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</si>
</sst>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rgb="FF002060"/>
      </left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 style="thin">
        <color rgb="FF002060"/>
      </right>
      <top/>
      <bottom style="thin">
        <color rgb="FF00206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1">
    <dxf>
      <numFmt numFmtId="13" formatCode="0%"/>
    </dxf>
  </dxfs>
  <tableStyles count="0" defaultTableStyle="TableStyleMedium2" defaultPivotStyle="PivotStyleLight16"/>
  <colors>
    <mruColors>
      <color rgb="FFFF6600"/>
      <color rgb="FF9DC3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Waterfall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10"/>
          <c:tx>
            <c:strRef>
              <c:f>'Waterfall - init'!$M$1</c:f>
              <c:strCache>
                <c:ptCount val="1"/>
                <c:pt idx="0">
                  <c:v>totals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C88-4315-9CBC-8C4B59B798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C88-4315-9CBC-8C4B59B798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C88-4315-9CBC-8C4B59B798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C88-4315-9CBC-8C4B59B798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C88-4315-9CBC-8C4B59B798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C88-4315-9CBC-8C4B59B798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8744EA5-B35C-46EB-A08A-0FE114660734}" type="CELLRANGE">
                      <a:rPr lang="en-US"/>
                      <a:pPr/>
                      <a:t>[CELLRANGE]</a:t>
                    </a:fld>
                    <a:endParaRPr lang="fr-F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6-6C88-4315-9CBC-8C4B59B798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'Waterfall - init'!$A$2:$B$8</c:f>
              <c:multiLvlStrCache>
                <c:ptCount val="7"/>
                <c:lvl>
                  <c:pt idx="0">
                    <c:v>Start</c:v>
                  </c:pt>
                  <c:pt idx="1">
                    <c:v>Users</c:v>
                  </c:pt>
                  <c:pt idx="2">
                    <c:v>Session/ User</c:v>
                  </c:pt>
                  <c:pt idx="3">
                    <c:v>Checkout/ Session</c:v>
                  </c:pt>
                  <c:pt idx="4">
                    <c:v>Purchase/ Checkout</c:v>
                  </c:pt>
                  <c:pt idx="5">
                    <c:v>Revenue/ Purchase</c:v>
                  </c:pt>
                  <c:pt idx="6">
                    <c:v>End</c:v>
                  </c:pt>
                </c:lvl>
                <c:lvl>
                  <c:pt idx="0">
                    <c:v>Step 0</c:v>
                  </c:pt>
                  <c:pt idx="1">
                    <c:v>Step 1</c:v>
                  </c:pt>
                  <c:pt idx="2">
                    <c:v>Step 2</c:v>
                  </c:pt>
                  <c:pt idx="3">
                    <c:v>Step 3</c:v>
                  </c:pt>
                  <c:pt idx="4">
                    <c:v>Step 4</c:v>
                  </c:pt>
                  <c:pt idx="5">
                    <c:v>Step 5</c:v>
                  </c:pt>
                  <c:pt idx="6">
                    <c:v>Step 6</c:v>
                  </c:pt>
                </c:lvl>
              </c:multiLvlStrCache>
            </c:multiLvlStrRef>
          </c:cat>
          <c:val>
            <c:numRef>
              <c:f>'Waterfall - init'!$M$2:$M$8</c:f>
              <c:numCache>
                <c:formatCode>General</c:formatCode>
                <c:ptCount val="7"/>
                <c:pt idx="0">
                  <c:v>45548.86</c:v>
                </c:pt>
                <c:pt idx="6">
                  <c:v>32747.01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8-4315-9CBC-8C4B59B79885}"/>
            </c:ext>
          </c:extLst>
        </c:ser>
        <c:ser>
          <c:idx val="11"/>
          <c:order val="11"/>
          <c:tx>
            <c:strRef>
              <c:f>'Waterfall - init'!$N$1</c:f>
              <c:strCache>
                <c:ptCount val="1"/>
                <c:pt idx="0">
                  <c:v>blank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'Waterfall - init'!$A$2:$B$8</c:f>
              <c:multiLvlStrCache>
                <c:ptCount val="7"/>
                <c:lvl>
                  <c:pt idx="0">
                    <c:v>Start</c:v>
                  </c:pt>
                  <c:pt idx="1">
                    <c:v>Users</c:v>
                  </c:pt>
                  <c:pt idx="2">
                    <c:v>Session/ User</c:v>
                  </c:pt>
                  <c:pt idx="3">
                    <c:v>Checkout/ Session</c:v>
                  </c:pt>
                  <c:pt idx="4">
                    <c:v>Purchase/ Checkout</c:v>
                  </c:pt>
                  <c:pt idx="5">
                    <c:v>Revenue/ Purchase</c:v>
                  </c:pt>
                  <c:pt idx="6">
                    <c:v>End</c:v>
                  </c:pt>
                </c:lvl>
                <c:lvl>
                  <c:pt idx="0">
                    <c:v>Step 0</c:v>
                  </c:pt>
                  <c:pt idx="1">
                    <c:v>Step 1</c:v>
                  </c:pt>
                  <c:pt idx="2">
                    <c:v>Step 2</c:v>
                  </c:pt>
                  <c:pt idx="3">
                    <c:v>Step 3</c:v>
                  </c:pt>
                  <c:pt idx="4">
                    <c:v>Step 4</c:v>
                  </c:pt>
                  <c:pt idx="5">
                    <c:v>Step 5</c:v>
                  </c:pt>
                  <c:pt idx="6">
                    <c:v>Step 6</c:v>
                  </c:pt>
                </c:lvl>
              </c:multiLvlStrCache>
            </c:multiLvlStrRef>
          </c:cat>
          <c:val>
            <c:numRef>
              <c:f>'Waterfall - init'!$N$2:$N$8</c:f>
              <c:numCache>
                <c:formatCode>General</c:formatCode>
                <c:ptCount val="7"/>
                <c:pt idx="1">
                  <c:v>40152.0518910229</c:v>
                </c:pt>
                <c:pt idx="2">
                  <c:v>40066.895403886003</c:v>
                </c:pt>
                <c:pt idx="3">
                  <c:v>27768.543600507201</c:v>
                </c:pt>
                <c:pt idx="4">
                  <c:v>27768.543600507201</c:v>
                </c:pt>
                <c:pt idx="5">
                  <c:v>28897.333414630099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88-4315-9CBC-8C4B59B79885}"/>
            </c:ext>
          </c:extLst>
        </c:ser>
        <c:ser>
          <c:idx val="12"/>
          <c:order val="12"/>
          <c:tx>
            <c:strRef>
              <c:f>'Waterfall - init'!$O$1</c:f>
              <c:strCache>
                <c:ptCount val="1"/>
                <c:pt idx="0">
                  <c:v>up_pos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'Waterfall - init'!$A$2:$B$8</c:f>
              <c:multiLvlStrCache>
                <c:ptCount val="7"/>
                <c:lvl>
                  <c:pt idx="0">
                    <c:v>Start</c:v>
                  </c:pt>
                  <c:pt idx="1">
                    <c:v>Users</c:v>
                  </c:pt>
                  <c:pt idx="2">
                    <c:v>Session/ User</c:v>
                  </c:pt>
                  <c:pt idx="3">
                    <c:v>Checkout/ Session</c:v>
                  </c:pt>
                  <c:pt idx="4">
                    <c:v>Purchase/ Checkout</c:v>
                  </c:pt>
                  <c:pt idx="5">
                    <c:v>Revenue/ Purchase</c:v>
                  </c:pt>
                  <c:pt idx="6">
                    <c:v>End</c:v>
                  </c:pt>
                </c:lvl>
                <c:lvl>
                  <c:pt idx="0">
                    <c:v>Step 0</c:v>
                  </c:pt>
                  <c:pt idx="1">
                    <c:v>Step 1</c:v>
                  </c:pt>
                  <c:pt idx="2">
                    <c:v>Step 2</c:v>
                  </c:pt>
                  <c:pt idx="3">
                    <c:v>Step 3</c:v>
                  </c:pt>
                  <c:pt idx="4">
                    <c:v>Step 4</c:v>
                  </c:pt>
                  <c:pt idx="5">
                    <c:v>Step 5</c:v>
                  </c:pt>
                  <c:pt idx="6">
                    <c:v>Step 6</c:v>
                  </c:pt>
                </c:lvl>
              </c:multiLvlStrCache>
            </c:multiLvlStrRef>
          </c:cat>
          <c:val>
            <c:numRef>
              <c:f>'Waterfall - init'!$O$2:$O$8</c:f>
              <c:numCache>
                <c:formatCode>General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1128.78981412292</c:v>
                </c:pt>
                <c:pt idx="5">
                  <c:v>3849.6765853698098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88-4315-9CBC-8C4B59B79885}"/>
            </c:ext>
          </c:extLst>
        </c:ser>
        <c:ser>
          <c:idx val="13"/>
          <c:order val="13"/>
          <c:tx>
            <c:strRef>
              <c:f>'Waterfall - init'!$P$1</c:f>
              <c:strCache>
                <c:ptCount val="1"/>
                <c:pt idx="0">
                  <c:v>up_neg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'Waterfall - init'!$A$2:$B$8</c:f>
              <c:multiLvlStrCache>
                <c:ptCount val="7"/>
                <c:lvl>
                  <c:pt idx="0">
                    <c:v>Start</c:v>
                  </c:pt>
                  <c:pt idx="1">
                    <c:v>Users</c:v>
                  </c:pt>
                  <c:pt idx="2">
                    <c:v>Session/ User</c:v>
                  </c:pt>
                  <c:pt idx="3">
                    <c:v>Checkout/ Session</c:v>
                  </c:pt>
                  <c:pt idx="4">
                    <c:v>Purchase/ Checkout</c:v>
                  </c:pt>
                  <c:pt idx="5">
                    <c:v>Revenue/ Purchase</c:v>
                  </c:pt>
                  <c:pt idx="6">
                    <c:v>End</c:v>
                  </c:pt>
                </c:lvl>
                <c:lvl>
                  <c:pt idx="0">
                    <c:v>Step 0</c:v>
                  </c:pt>
                  <c:pt idx="1">
                    <c:v>Step 1</c:v>
                  </c:pt>
                  <c:pt idx="2">
                    <c:v>Step 2</c:v>
                  </c:pt>
                  <c:pt idx="3">
                    <c:v>Step 3</c:v>
                  </c:pt>
                  <c:pt idx="4">
                    <c:v>Step 4</c:v>
                  </c:pt>
                  <c:pt idx="5">
                    <c:v>Step 5</c:v>
                  </c:pt>
                  <c:pt idx="6">
                    <c:v>Step 6</c:v>
                  </c:pt>
                </c:lvl>
              </c:multiLvlStrCache>
            </c:multiLvlStrRef>
          </c:cat>
          <c:val>
            <c:numRef>
              <c:f>'Waterfall - init'!$P$2:$P$8</c:f>
              <c:numCache>
                <c:formatCode>General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88-4315-9CBC-8C4B59B79885}"/>
            </c:ext>
          </c:extLst>
        </c:ser>
        <c:ser>
          <c:idx val="14"/>
          <c:order val="14"/>
          <c:tx>
            <c:strRef>
              <c:f>'Waterfall - init'!$Q$1</c:f>
              <c:strCache>
                <c:ptCount val="1"/>
                <c:pt idx="0">
                  <c:v>down_pos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'Waterfall - init'!$A$2:$B$8</c:f>
              <c:multiLvlStrCache>
                <c:ptCount val="7"/>
                <c:lvl>
                  <c:pt idx="0">
                    <c:v>Start</c:v>
                  </c:pt>
                  <c:pt idx="1">
                    <c:v>Users</c:v>
                  </c:pt>
                  <c:pt idx="2">
                    <c:v>Session/ User</c:v>
                  </c:pt>
                  <c:pt idx="3">
                    <c:v>Checkout/ Session</c:v>
                  </c:pt>
                  <c:pt idx="4">
                    <c:v>Purchase/ Checkout</c:v>
                  </c:pt>
                  <c:pt idx="5">
                    <c:v>Revenue/ Purchase</c:v>
                  </c:pt>
                  <c:pt idx="6">
                    <c:v>End</c:v>
                  </c:pt>
                </c:lvl>
                <c:lvl>
                  <c:pt idx="0">
                    <c:v>Step 0</c:v>
                  </c:pt>
                  <c:pt idx="1">
                    <c:v>Step 1</c:v>
                  </c:pt>
                  <c:pt idx="2">
                    <c:v>Step 2</c:v>
                  </c:pt>
                  <c:pt idx="3">
                    <c:v>Step 3</c:v>
                  </c:pt>
                  <c:pt idx="4">
                    <c:v>Step 4</c:v>
                  </c:pt>
                  <c:pt idx="5">
                    <c:v>Step 5</c:v>
                  </c:pt>
                  <c:pt idx="6">
                    <c:v>Step 6</c:v>
                  </c:pt>
                </c:lvl>
              </c:multiLvlStrCache>
            </c:multiLvlStrRef>
          </c:cat>
          <c:val>
            <c:numRef>
              <c:f>'Waterfall - init'!$Q$2:$Q$8</c:f>
              <c:numCache>
                <c:formatCode>General</c:formatCode>
                <c:ptCount val="7"/>
                <c:pt idx="1">
                  <c:v>5396.8081089770803</c:v>
                </c:pt>
                <c:pt idx="2">
                  <c:v>85.156487136903493</c:v>
                </c:pt>
                <c:pt idx="3">
                  <c:v>12298.3518033788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88-4315-9CBC-8C4B59B79885}"/>
            </c:ext>
          </c:extLst>
        </c:ser>
        <c:ser>
          <c:idx val="15"/>
          <c:order val="15"/>
          <c:tx>
            <c:strRef>
              <c:f>'Waterfall - init'!$R$1</c:f>
              <c:strCache>
                <c:ptCount val="1"/>
                <c:pt idx="0">
                  <c:v>down_neg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'Waterfall - init'!$A$2:$B$8</c:f>
              <c:multiLvlStrCache>
                <c:ptCount val="7"/>
                <c:lvl>
                  <c:pt idx="0">
                    <c:v>Start</c:v>
                  </c:pt>
                  <c:pt idx="1">
                    <c:v>Users</c:v>
                  </c:pt>
                  <c:pt idx="2">
                    <c:v>Session/ User</c:v>
                  </c:pt>
                  <c:pt idx="3">
                    <c:v>Checkout/ Session</c:v>
                  </c:pt>
                  <c:pt idx="4">
                    <c:v>Purchase/ Checkout</c:v>
                  </c:pt>
                  <c:pt idx="5">
                    <c:v>Revenue/ Purchase</c:v>
                  </c:pt>
                  <c:pt idx="6">
                    <c:v>End</c:v>
                  </c:pt>
                </c:lvl>
                <c:lvl>
                  <c:pt idx="0">
                    <c:v>Step 0</c:v>
                  </c:pt>
                  <c:pt idx="1">
                    <c:v>Step 1</c:v>
                  </c:pt>
                  <c:pt idx="2">
                    <c:v>Step 2</c:v>
                  </c:pt>
                  <c:pt idx="3">
                    <c:v>Step 3</c:v>
                  </c:pt>
                  <c:pt idx="4">
                    <c:v>Step 4</c:v>
                  </c:pt>
                  <c:pt idx="5">
                    <c:v>Step 5</c:v>
                  </c:pt>
                  <c:pt idx="6">
                    <c:v>Step 6</c:v>
                  </c:pt>
                </c:lvl>
              </c:multiLvlStrCache>
            </c:multiLvlStrRef>
          </c:cat>
          <c:val>
            <c:numRef>
              <c:f>'Waterfall - init'!$R$2:$R$8</c:f>
              <c:numCache>
                <c:formatCode>General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88-4315-9CBC-8C4B59B79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4"/>
        <c:overlap val="100"/>
        <c:axId val="1781579919"/>
        <c:axId val="15226322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'Waterfall - init'!$C$1</c15:sqref>
                        </c15:formulaRef>
                      </c:ext>
                    </c:extLst>
                    <c:strCache>
                      <c:ptCount val="1"/>
                      <c:pt idx="0">
                        <c:v>Num_Start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'Waterfall - init'!$A$2:$B$8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Start</c:v>
                        </c:pt>
                        <c:pt idx="1">
                          <c:v>Users</c:v>
                        </c:pt>
                        <c:pt idx="2">
                          <c:v>Session/ User</c:v>
                        </c:pt>
                        <c:pt idx="3">
                          <c:v>Checkout/ Session</c:v>
                        </c:pt>
                        <c:pt idx="4">
                          <c:v>Purchase/ Checkout</c:v>
                        </c:pt>
                        <c:pt idx="5">
                          <c:v>Revenue/ Purchase</c:v>
                        </c:pt>
                        <c:pt idx="6">
                          <c:v>End</c:v>
                        </c:pt>
                      </c:lvl>
                      <c:lvl>
                        <c:pt idx="0">
                          <c:v>Step 0</c:v>
                        </c:pt>
                        <c:pt idx="1">
                          <c:v>Step 1</c:v>
                        </c:pt>
                        <c:pt idx="2">
                          <c:v>Step 2</c:v>
                        </c:pt>
                        <c:pt idx="3">
                          <c:v>Step 3</c:v>
                        </c:pt>
                        <c:pt idx="4">
                          <c:v>Step 4</c:v>
                        </c:pt>
                        <c:pt idx="5">
                          <c:v>Step 5</c:v>
                        </c:pt>
                        <c:pt idx="6">
                          <c:v>Step 6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'Waterfall - init'!$C$2:$C$8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45548.86</c:v>
                      </c:pt>
                      <c:pt idx="1">
                        <c:v>9180</c:v>
                      </c:pt>
                      <c:pt idx="2">
                        <c:v>9635</c:v>
                      </c:pt>
                      <c:pt idx="3">
                        <c:v>397</c:v>
                      </c:pt>
                      <c:pt idx="4">
                        <c:v>248</c:v>
                      </c:pt>
                      <c:pt idx="5">
                        <c:v>45548.86</c:v>
                      </c:pt>
                      <c:pt idx="6">
                        <c:v>45548.86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6C88-4315-9CBC-8C4B59B79885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'Waterfall - init'!$D$1</c15:sqref>
                        </c15:formulaRef>
                      </c:ext>
                    </c:extLst>
                    <c:strCache>
                      <c:ptCount val="1"/>
                      <c:pt idx="0">
                        <c:v>Denom_Start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'Waterfall - init'!$A$2:$B$8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Start</c:v>
                        </c:pt>
                        <c:pt idx="1">
                          <c:v>Users</c:v>
                        </c:pt>
                        <c:pt idx="2">
                          <c:v>Session/ User</c:v>
                        </c:pt>
                        <c:pt idx="3">
                          <c:v>Checkout/ Session</c:v>
                        </c:pt>
                        <c:pt idx="4">
                          <c:v>Purchase/ Checkout</c:v>
                        </c:pt>
                        <c:pt idx="5">
                          <c:v>Revenue/ Purchase</c:v>
                        </c:pt>
                        <c:pt idx="6">
                          <c:v>End</c:v>
                        </c:pt>
                      </c:lvl>
                      <c:lvl>
                        <c:pt idx="0">
                          <c:v>Step 0</c:v>
                        </c:pt>
                        <c:pt idx="1">
                          <c:v>Step 1</c:v>
                        </c:pt>
                        <c:pt idx="2">
                          <c:v>Step 2</c:v>
                        </c:pt>
                        <c:pt idx="3">
                          <c:v>Step 3</c:v>
                        </c:pt>
                        <c:pt idx="4">
                          <c:v>Step 4</c:v>
                        </c:pt>
                        <c:pt idx="5">
                          <c:v>Step 5</c:v>
                        </c:pt>
                        <c:pt idx="6">
                          <c:v>Step 6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'Waterfall - init'!$D$2:$D$8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1</c:v>
                      </c:pt>
                      <c:pt idx="1">
                        <c:v>1</c:v>
                      </c:pt>
                      <c:pt idx="2">
                        <c:v>9180</c:v>
                      </c:pt>
                      <c:pt idx="3">
                        <c:v>9635</c:v>
                      </c:pt>
                      <c:pt idx="4">
                        <c:v>397</c:v>
                      </c:pt>
                      <c:pt idx="5">
                        <c:v>248</c:v>
                      </c:pt>
                      <c:pt idx="6">
                        <c:v>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C88-4315-9CBC-8C4B59B79885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'Waterfall - init'!$E$1</c15:sqref>
                        </c15:formulaRef>
                      </c:ext>
                    </c:extLst>
                    <c:strCache>
                      <c:ptCount val="1"/>
                      <c:pt idx="0">
                        <c:v>Num_End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'Waterfall - init'!$A$2:$B$8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Start</c:v>
                        </c:pt>
                        <c:pt idx="1">
                          <c:v>Users</c:v>
                        </c:pt>
                        <c:pt idx="2">
                          <c:v>Session/ User</c:v>
                        </c:pt>
                        <c:pt idx="3">
                          <c:v>Checkout/ Session</c:v>
                        </c:pt>
                        <c:pt idx="4">
                          <c:v>Purchase/ Checkout</c:v>
                        </c:pt>
                        <c:pt idx="5">
                          <c:v>Revenue/ Purchase</c:v>
                        </c:pt>
                        <c:pt idx="6">
                          <c:v>End</c:v>
                        </c:pt>
                      </c:lvl>
                      <c:lvl>
                        <c:pt idx="0">
                          <c:v>Step 0</c:v>
                        </c:pt>
                        <c:pt idx="1">
                          <c:v>Step 1</c:v>
                        </c:pt>
                        <c:pt idx="2">
                          <c:v>Step 2</c:v>
                        </c:pt>
                        <c:pt idx="3">
                          <c:v>Step 3</c:v>
                        </c:pt>
                        <c:pt idx="4">
                          <c:v>Step 4</c:v>
                        </c:pt>
                        <c:pt idx="5">
                          <c:v>Step 5</c:v>
                        </c:pt>
                        <c:pt idx="6">
                          <c:v>Step 6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'Waterfall - init'!$E$2:$E$8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8105</c:v>
                      </c:pt>
                      <c:pt idx="2">
                        <c:v>8491</c:v>
                      </c:pt>
                      <c:pt idx="3">
                        <c:v>256.5</c:v>
                      </c:pt>
                      <c:pt idx="4">
                        <c:v>164.25</c:v>
                      </c:pt>
                      <c:pt idx="5">
                        <c:v>32747.01</c:v>
                      </c:pt>
                      <c:pt idx="6">
                        <c:v>32747.01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C88-4315-9CBC-8C4B59B7988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'Waterfall - init'!$F$1</c15:sqref>
                        </c15:formulaRef>
                      </c:ext>
                    </c:extLst>
                    <c:strCache>
                      <c:ptCount val="1"/>
                      <c:pt idx="0">
                        <c:v>Denom_End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'Waterfall - init'!$A$2:$B$8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Start</c:v>
                        </c:pt>
                        <c:pt idx="1">
                          <c:v>Users</c:v>
                        </c:pt>
                        <c:pt idx="2">
                          <c:v>Session/ User</c:v>
                        </c:pt>
                        <c:pt idx="3">
                          <c:v>Checkout/ Session</c:v>
                        </c:pt>
                        <c:pt idx="4">
                          <c:v>Purchase/ Checkout</c:v>
                        </c:pt>
                        <c:pt idx="5">
                          <c:v>Revenue/ Purchase</c:v>
                        </c:pt>
                        <c:pt idx="6">
                          <c:v>End</c:v>
                        </c:pt>
                      </c:lvl>
                      <c:lvl>
                        <c:pt idx="0">
                          <c:v>Step 0</c:v>
                        </c:pt>
                        <c:pt idx="1">
                          <c:v>Step 1</c:v>
                        </c:pt>
                        <c:pt idx="2">
                          <c:v>Step 2</c:v>
                        </c:pt>
                        <c:pt idx="3">
                          <c:v>Step 3</c:v>
                        </c:pt>
                        <c:pt idx="4">
                          <c:v>Step 4</c:v>
                        </c:pt>
                        <c:pt idx="5">
                          <c:v>Step 5</c:v>
                        </c:pt>
                        <c:pt idx="6">
                          <c:v>Step 6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'Waterfall - init'!$F$2:$F$8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1</c:v>
                      </c:pt>
                      <c:pt idx="2">
                        <c:v>8105</c:v>
                      </c:pt>
                      <c:pt idx="3">
                        <c:v>8491</c:v>
                      </c:pt>
                      <c:pt idx="4">
                        <c:v>256.5</c:v>
                      </c:pt>
                      <c:pt idx="5">
                        <c:v>164.25</c:v>
                      </c:pt>
                      <c:pt idx="6">
                        <c:v>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C88-4315-9CBC-8C4B59B79885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'Waterfall - init'!$G$1</c15:sqref>
                        </c15:formulaRef>
                      </c:ext>
                    </c:extLst>
                    <c:strCache>
                      <c:ptCount val="1"/>
                      <c:pt idx="0">
                        <c:v>RatioStart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'Waterfall - init'!$A$2:$B$8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Start</c:v>
                        </c:pt>
                        <c:pt idx="1">
                          <c:v>Users</c:v>
                        </c:pt>
                        <c:pt idx="2">
                          <c:v>Session/ User</c:v>
                        </c:pt>
                        <c:pt idx="3">
                          <c:v>Checkout/ Session</c:v>
                        </c:pt>
                        <c:pt idx="4">
                          <c:v>Purchase/ Checkout</c:v>
                        </c:pt>
                        <c:pt idx="5">
                          <c:v>Revenue/ Purchase</c:v>
                        </c:pt>
                        <c:pt idx="6">
                          <c:v>End</c:v>
                        </c:pt>
                      </c:lvl>
                      <c:lvl>
                        <c:pt idx="0">
                          <c:v>Step 0</c:v>
                        </c:pt>
                        <c:pt idx="1">
                          <c:v>Step 1</c:v>
                        </c:pt>
                        <c:pt idx="2">
                          <c:v>Step 2</c:v>
                        </c:pt>
                        <c:pt idx="3">
                          <c:v>Step 3</c:v>
                        </c:pt>
                        <c:pt idx="4">
                          <c:v>Step 4</c:v>
                        </c:pt>
                        <c:pt idx="5">
                          <c:v>Step 5</c:v>
                        </c:pt>
                        <c:pt idx="6">
                          <c:v>Step 6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'Waterfall - init'!$G$2:$G$8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45548.86</c:v>
                      </c:pt>
                      <c:pt idx="1">
                        <c:v>9180</c:v>
                      </c:pt>
                      <c:pt idx="2">
                        <c:v>1.0495642701525101</c:v>
                      </c:pt>
                      <c:pt idx="3">
                        <c:v>4.1203943954333203E-2</c:v>
                      </c:pt>
                      <c:pt idx="4">
                        <c:v>0.62468513853904295</c:v>
                      </c:pt>
                      <c:pt idx="5">
                        <c:v>183.66475806451601</c:v>
                      </c:pt>
                      <c:pt idx="6">
                        <c:v>45548.86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C88-4315-9CBC-8C4B59B79885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'Waterfall - init'!$H$1</c15:sqref>
                        </c15:formulaRef>
                      </c:ext>
                    </c:extLst>
                    <c:strCache>
                      <c:ptCount val="1"/>
                      <c:pt idx="0">
                        <c:v>RatioEnd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'Waterfall - init'!$A$2:$B$8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Start</c:v>
                        </c:pt>
                        <c:pt idx="1">
                          <c:v>Users</c:v>
                        </c:pt>
                        <c:pt idx="2">
                          <c:v>Session/ User</c:v>
                        </c:pt>
                        <c:pt idx="3">
                          <c:v>Checkout/ Session</c:v>
                        </c:pt>
                        <c:pt idx="4">
                          <c:v>Purchase/ Checkout</c:v>
                        </c:pt>
                        <c:pt idx="5">
                          <c:v>Revenue/ Purchase</c:v>
                        </c:pt>
                        <c:pt idx="6">
                          <c:v>End</c:v>
                        </c:pt>
                      </c:lvl>
                      <c:lvl>
                        <c:pt idx="0">
                          <c:v>Step 0</c:v>
                        </c:pt>
                        <c:pt idx="1">
                          <c:v>Step 1</c:v>
                        </c:pt>
                        <c:pt idx="2">
                          <c:v>Step 2</c:v>
                        </c:pt>
                        <c:pt idx="3">
                          <c:v>Step 3</c:v>
                        </c:pt>
                        <c:pt idx="4">
                          <c:v>Step 4</c:v>
                        </c:pt>
                        <c:pt idx="5">
                          <c:v>Step 5</c:v>
                        </c:pt>
                        <c:pt idx="6">
                          <c:v>Step 6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'Waterfall - init'!$H$2:$H$8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8105</c:v>
                      </c:pt>
                      <c:pt idx="2">
                        <c:v>1.04762492288711</c:v>
                      </c:pt>
                      <c:pt idx="3">
                        <c:v>3.0208456012248301E-2</c:v>
                      </c:pt>
                      <c:pt idx="4">
                        <c:v>0.640350877192982</c:v>
                      </c:pt>
                      <c:pt idx="5">
                        <c:v>199.37296803653001</c:v>
                      </c:pt>
                      <c:pt idx="6">
                        <c:v>32747.01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C88-4315-9CBC-8C4B59B79885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'Waterfall - init'!$I$1</c15:sqref>
                        </c15:formulaRef>
                      </c:ext>
                    </c:extLst>
                    <c:strCache>
                      <c:ptCount val="1"/>
                      <c:pt idx="0">
                        <c:v>RedistributedGap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'Waterfall - init'!$A$2:$B$8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Start</c:v>
                        </c:pt>
                        <c:pt idx="1">
                          <c:v>Users</c:v>
                        </c:pt>
                        <c:pt idx="2">
                          <c:v>Session/ User</c:v>
                        </c:pt>
                        <c:pt idx="3">
                          <c:v>Checkout/ Session</c:v>
                        </c:pt>
                        <c:pt idx="4">
                          <c:v>Purchase/ Checkout</c:v>
                        </c:pt>
                        <c:pt idx="5">
                          <c:v>Revenue/ Purchase</c:v>
                        </c:pt>
                        <c:pt idx="6">
                          <c:v>End</c:v>
                        </c:pt>
                      </c:lvl>
                      <c:lvl>
                        <c:pt idx="0">
                          <c:v>Step 0</c:v>
                        </c:pt>
                        <c:pt idx="1">
                          <c:v>Step 1</c:v>
                        </c:pt>
                        <c:pt idx="2">
                          <c:v>Step 2</c:v>
                        </c:pt>
                        <c:pt idx="3">
                          <c:v>Step 3</c:v>
                        </c:pt>
                        <c:pt idx="4">
                          <c:v>Step 4</c:v>
                        </c:pt>
                        <c:pt idx="5">
                          <c:v>Step 5</c:v>
                        </c:pt>
                        <c:pt idx="6">
                          <c:v>Step 6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'Waterfall - init'!$I$2:$I$8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45548.86</c:v>
                      </c:pt>
                      <c:pt idx="1">
                        <c:v>-5396.8081089770803</c:v>
                      </c:pt>
                      <c:pt idx="2">
                        <c:v>-85.156487136903493</c:v>
                      </c:pt>
                      <c:pt idx="3">
                        <c:v>-12298.3518033788</c:v>
                      </c:pt>
                      <c:pt idx="4">
                        <c:v>1128.78981412292</c:v>
                      </c:pt>
                      <c:pt idx="5">
                        <c:v>3849.6765853698098</c:v>
                      </c:pt>
                      <c:pt idx="6">
                        <c:v>-12952.8821951137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C88-4315-9CBC-8C4B59B7988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'Waterfall - init'!$J$1</c15:sqref>
                        </c15:formulaRef>
                      </c:ext>
                    </c:extLst>
                    <c:strCache>
                      <c:ptCount val="1"/>
                      <c:pt idx="0">
                        <c:v>RelativeChange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'Waterfall - init'!$A$2:$B$8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Start</c:v>
                        </c:pt>
                        <c:pt idx="1">
                          <c:v>Users</c:v>
                        </c:pt>
                        <c:pt idx="2">
                          <c:v>Session/ User</c:v>
                        </c:pt>
                        <c:pt idx="3">
                          <c:v>Checkout/ Session</c:v>
                        </c:pt>
                        <c:pt idx="4">
                          <c:v>Purchase/ Checkout</c:v>
                        </c:pt>
                        <c:pt idx="5">
                          <c:v>Revenue/ Purchase</c:v>
                        </c:pt>
                        <c:pt idx="6">
                          <c:v>End</c:v>
                        </c:pt>
                      </c:lvl>
                      <c:lvl>
                        <c:pt idx="0">
                          <c:v>Step 0</c:v>
                        </c:pt>
                        <c:pt idx="1">
                          <c:v>Step 1</c:v>
                        </c:pt>
                        <c:pt idx="2">
                          <c:v>Step 2</c:v>
                        </c:pt>
                        <c:pt idx="3">
                          <c:v>Step 3</c:v>
                        </c:pt>
                        <c:pt idx="4">
                          <c:v>Step 4</c:v>
                        </c:pt>
                        <c:pt idx="5">
                          <c:v>Step 5</c:v>
                        </c:pt>
                        <c:pt idx="6">
                          <c:v>Step 6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'Waterfall - init'!$J$2:$J$8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-0.117102396514161</c:v>
                      </c:pt>
                      <c:pt idx="2">
                        <c:v>-1.84776418229093E-3</c:v>
                      </c:pt>
                      <c:pt idx="3">
                        <c:v>-0.26685523003019601</c:v>
                      </c:pt>
                      <c:pt idx="4">
                        <c:v>2.5077815506507201E-2</c:v>
                      </c:pt>
                      <c:pt idx="5">
                        <c:v>8.5526532893676704E-2</c:v>
                      </c:pt>
                      <c:pt idx="6">
                        <c:v>-0.281057528113766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C88-4315-9CBC-8C4B59B79885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'Waterfall - init'!$K$1</c15:sqref>
                        </c15:formulaRef>
                      </c:ext>
                    </c:extLst>
                    <c:strCache>
                      <c:ptCount val="1"/>
                      <c:pt idx="0">
                        <c:v>BpsDelta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'Waterfall - init'!$A$2:$B$8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Start</c:v>
                        </c:pt>
                        <c:pt idx="1">
                          <c:v>Users</c:v>
                        </c:pt>
                        <c:pt idx="2">
                          <c:v>Session/ User</c:v>
                        </c:pt>
                        <c:pt idx="3">
                          <c:v>Checkout/ Session</c:v>
                        </c:pt>
                        <c:pt idx="4">
                          <c:v>Purchase/ Checkout</c:v>
                        </c:pt>
                        <c:pt idx="5">
                          <c:v>Revenue/ Purchase</c:v>
                        </c:pt>
                        <c:pt idx="6">
                          <c:v>End</c:v>
                        </c:pt>
                      </c:lvl>
                      <c:lvl>
                        <c:pt idx="0">
                          <c:v>Step 0</c:v>
                        </c:pt>
                        <c:pt idx="1">
                          <c:v>Step 1</c:v>
                        </c:pt>
                        <c:pt idx="2">
                          <c:v>Step 2</c:v>
                        </c:pt>
                        <c:pt idx="3">
                          <c:v>Step 3</c:v>
                        </c:pt>
                        <c:pt idx="4">
                          <c:v>Step 4</c:v>
                        </c:pt>
                        <c:pt idx="5">
                          <c:v>Step 5</c:v>
                        </c:pt>
                        <c:pt idx="6">
                          <c:v>Step 6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'Waterfall - init'!$K$2:$K$8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-5396.8081089770803</c:v>
                      </c:pt>
                      <c:pt idx="2">
                        <c:v>-85.156487136903493</c:v>
                      </c:pt>
                      <c:pt idx="3">
                        <c:v>-12298.3518033788</c:v>
                      </c:pt>
                      <c:pt idx="4">
                        <c:v>1128.78981412292</c:v>
                      </c:pt>
                      <c:pt idx="5">
                        <c:v>3849.6765853698098</c:v>
                      </c:pt>
                      <c:pt idx="6">
                        <c:v>-12952.8821951137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C88-4315-9CBC-8C4B59B79885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'Waterfall - init'!$L$1</c15:sqref>
                        </c15:formulaRef>
                      </c:ext>
                    </c:extLst>
                    <c:strCache>
                      <c:ptCount val="1"/>
                      <c:pt idx="0">
                        <c:v>values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xmlns:c15="http://schemas.microsoft.com/office/drawing/2012/chart" uri="{02D57815-91ED-43cb-92C2-25804820EDAC}">
                        <c15:formulaRef>
                          <c15:sqref>'Waterfall - init'!$A$2:$B$8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Start</c:v>
                        </c:pt>
                        <c:pt idx="1">
                          <c:v>Users</c:v>
                        </c:pt>
                        <c:pt idx="2">
                          <c:v>Session/ User</c:v>
                        </c:pt>
                        <c:pt idx="3">
                          <c:v>Checkout/ Session</c:v>
                        </c:pt>
                        <c:pt idx="4">
                          <c:v>Purchase/ Checkout</c:v>
                        </c:pt>
                        <c:pt idx="5">
                          <c:v>Revenue/ Purchase</c:v>
                        </c:pt>
                        <c:pt idx="6">
                          <c:v>End</c:v>
                        </c:pt>
                      </c:lvl>
                      <c:lvl>
                        <c:pt idx="0">
                          <c:v>Step 0</c:v>
                        </c:pt>
                        <c:pt idx="1">
                          <c:v>Step 1</c:v>
                        </c:pt>
                        <c:pt idx="2">
                          <c:v>Step 2</c:v>
                        </c:pt>
                        <c:pt idx="3">
                          <c:v>Step 3</c:v>
                        </c:pt>
                        <c:pt idx="4">
                          <c:v>Step 4</c:v>
                        </c:pt>
                        <c:pt idx="5">
                          <c:v>Step 5</c:v>
                        </c:pt>
                        <c:pt idx="6">
                          <c:v>Step 6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'Waterfall - init'!$L$2:$L$8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45548.86</c:v>
                      </c:pt>
                      <c:pt idx="1">
                        <c:v>-5396.8081089770803</c:v>
                      </c:pt>
                      <c:pt idx="2">
                        <c:v>-85.156487136903493</c:v>
                      </c:pt>
                      <c:pt idx="3">
                        <c:v>-12298.3518033788</c:v>
                      </c:pt>
                      <c:pt idx="4">
                        <c:v>1128.78981412292</c:v>
                      </c:pt>
                      <c:pt idx="5">
                        <c:v>3849.6765853698098</c:v>
                      </c:pt>
                      <c:pt idx="6">
                        <c:v>32747.01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C88-4315-9CBC-8C4B59B79885}"/>
                  </c:ext>
                </c:extLst>
              </c15:ser>
            </c15:filteredBarSeries>
          </c:ext>
        </c:extLst>
      </c:barChart>
      <c:catAx>
        <c:axId val="1781579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22632223"/>
        <c:crosses val="autoZero"/>
        <c:auto val="1"/>
        <c:lblAlgn val="ctr"/>
        <c:lblOffset val="100"/>
        <c:noMultiLvlLbl val="0"/>
      </c:catAx>
      <c:valAx>
        <c:axId val="15226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81579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Key dimension summary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6"/>
          <c:order val="6"/>
          <c:tx>
            <c:strRef>
              <c:f>'Summary - init'!$J$1</c:f>
              <c:strCache>
                <c:ptCount val="1"/>
                <c:pt idx="0">
                  <c:v>MixDriver_Scaled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('Summary - init'!$B$2:$B$8,'Summary - init'!$I$2:$I$8)</c:f>
              <c:strCache>
                <c:ptCount val="13"/>
                <c:pt idx="0">
                  <c:v>Start</c:v>
                </c:pt>
                <c:pt idx="1">
                  <c:v>Users</c:v>
                </c:pt>
                <c:pt idx="2">
                  <c:v>Session/ User</c:v>
                </c:pt>
                <c:pt idx="3">
                  <c:v>Checkout/ Session</c:v>
                </c:pt>
                <c:pt idx="4">
                  <c:v>Purchase/ Checkout</c:v>
                </c:pt>
                <c:pt idx="5">
                  <c:v>Revenue/ Purchase</c:v>
                </c:pt>
                <c:pt idx="6">
                  <c:v>End</c:v>
                </c:pt>
                <c:pt idx="8">
                  <c:v>Medium</c:v>
                </c:pt>
                <c:pt idx="9">
                  <c:v>Gender</c:v>
                </c:pt>
                <c:pt idx="10">
                  <c:v>Medium</c:v>
                </c:pt>
                <c:pt idx="11">
                  <c:v>Gender</c:v>
                </c:pt>
                <c:pt idx="12">
                  <c:v>Landing.Page</c:v>
                </c:pt>
              </c:strCache>
            </c:strRef>
          </c:cat>
          <c:val>
            <c:numRef>
              <c:f>'Summary - init'!$J$2:$J$8</c:f>
              <c:numCache>
                <c:formatCode>General</c:formatCode>
                <c:ptCount val="7"/>
                <c:pt idx="1">
                  <c:v>0</c:v>
                </c:pt>
                <c:pt idx="2">
                  <c:v>21.6294926038195</c:v>
                </c:pt>
                <c:pt idx="3">
                  <c:v>-3445.2238517819101</c:v>
                </c:pt>
                <c:pt idx="4">
                  <c:v>-21.379550312295098</c:v>
                </c:pt>
                <c:pt idx="5">
                  <c:v>-113.628497187813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71-4BB7-A67D-4F205E45F5B9}"/>
            </c:ext>
          </c:extLst>
        </c:ser>
        <c:ser>
          <c:idx val="8"/>
          <c:order val="8"/>
          <c:tx>
            <c:strRef>
              <c:f>'Summary - init'!$L$1</c:f>
              <c:strCache>
                <c:ptCount val="1"/>
                <c:pt idx="0">
                  <c:v>RatioDriver_Scaled_Biggest</c:v>
                </c:pt>
              </c:strCache>
            </c:strRef>
          </c:tx>
          <c:spPr>
            <a:solidFill>
              <a:srgbClr val="9DC3E6"/>
            </a:solidFill>
            <a:ln>
              <a:noFill/>
            </a:ln>
            <a:effectLst/>
          </c:spPr>
          <c:invertIfNegative val="0"/>
          <c:cat>
            <c:strRef>
              <c:f>('Summary - init'!$B$2:$B$8,'Summary - init'!$I$2:$I$8)</c:f>
              <c:strCache>
                <c:ptCount val="13"/>
                <c:pt idx="0">
                  <c:v>Start</c:v>
                </c:pt>
                <c:pt idx="1">
                  <c:v>Users</c:v>
                </c:pt>
                <c:pt idx="2">
                  <c:v>Session/ User</c:v>
                </c:pt>
                <c:pt idx="3">
                  <c:v>Checkout/ Session</c:v>
                </c:pt>
                <c:pt idx="4">
                  <c:v>Purchase/ Checkout</c:v>
                </c:pt>
                <c:pt idx="5">
                  <c:v>Revenue/ Purchase</c:v>
                </c:pt>
                <c:pt idx="6">
                  <c:v>End</c:v>
                </c:pt>
                <c:pt idx="8">
                  <c:v>Medium</c:v>
                </c:pt>
                <c:pt idx="9">
                  <c:v>Gender</c:v>
                </c:pt>
                <c:pt idx="10">
                  <c:v>Medium</c:v>
                </c:pt>
                <c:pt idx="11">
                  <c:v>Gender</c:v>
                </c:pt>
                <c:pt idx="12">
                  <c:v>Landing.Page</c:v>
                </c:pt>
              </c:strCache>
            </c:strRef>
          </c:cat>
          <c:val>
            <c:numRef>
              <c:f>'Summary - init'!$L$2:$L$8</c:f>
              <c:numCache>
                <c:formatCode>General</c:formatCode>
                <c:ptCount val="7"/>
                <c:pt idx="1">
                  <c:v>-4056.3915833055598</c:v>
                </c:pt>
                <c:pt idx="2">
                  <c:v>-237.262762684298</c:v>
                </c:pt>
                <c:pt idx="3">
                  <c:v>-5366.6474328213299</c:v>
                </c:pt>
                <c:pt idx="4">
                  <c:v>1840.90766784424</c:v>
                </c:pt>
                <c:pt idx="5">
                  <c:v>4326.1116248917897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71-4BB7-A67D-4F205E45F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85207263"/>
        <c:axId val="1639073535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'Summary - init'!$D$1</c15:sqref>
                        </c15:formulaRef>
                      </c:ext>
                    </c:extLst>
                    <c:strCache>
                      <c:ptCount val="1"/>
                      <c:pt idx="0">
                        <c:v>start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'Summary - init'!$D$2:$D$8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45548.86</c:v>
                      </c:pt>
                      <c:pt idx="2">
                        <c:v>40152.0518910229</c:v>
                      </c:pt>
                      <c:pt idx="3">
                        <c:v>40066.895403886003</c:v>
                      </c:pt>
                      <c:pt idx="4">
                        <c:v>27768.543600507201</c:v>
                      </c:pt>
                      <c:pt idx="5">
                        <c:v>28897.333414630099</c:v>
                      </c:pt>
                      <c:pt idx="6">
                        <c:v>32747.0099999999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7971-4BB7-A67D-4F205E45F5B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init'!$E$1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init'!$E$2:$E$8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45548.86</c:v>
                      </c:pt>
                      <c:pt idx="1">
                        <c:v>40152.0518910229</c:v>
                      </c:pt>
                      <c:pt idx="2">
                        <c:v>40066.895403886003</c:v>
                      </c:pt>
                      <c:pt idx="3">
                        <c:v>27768.543600507201</c:v>
                      </c:pt>
                      <c:pt idx="4">
                        <c:v>28897.333414630099</c:v>
                      </c:pt>
                      <c:pt idx="5">
                        <c:v>32747.0099999999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971-4BB7-A67D-4F205E45F5B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init'!$F$1</c15:sqref>
                        </c15:formulaRef>
                      </c:ext>
                    </c:extLst>
                    <c:strCache>
                      <c:ptCount val="1"/>
                      <c:pt idx="0">
                        <c:v>RedistributedGap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init'!$F$2:$F$8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45548.86</c:v>
                      </c:pt>
                      <c:pt idx="1">
                        <c:v>-5396.8081089770803</c:v>
                      </c:pt>
                      <c:pt idx="2">
                        <c:v>-85.156487136903493</c:v>
                      </c:pt>
                      <c:pt idx="3">
                        <c:v>-12298.3518033788</c:v>
                      </c:pt>
                      <c:pt idx="4">
                        <c:v>1128.78981412292</c:v>
                      </c:pt>
                      <c:pt idx="5">
                        <c:v>3849.6765853698098</c:v>
                      </c:pt>
                      <c:pt idx="6">
                        <c:v>-12952.8821951137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971-4BB7-A67D-4F205E45F5B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init'!$G$1</c15:sqref>
                        </c15:formulaRef>
                      </c:ext>
                    </c:extLst>
                    <c:strCache>
                      <c:ptCount val="1"/>
                      <c:pt idx="0">
                        <c:v>Step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init'!$G$2:$G$8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971-4BB7-A67D-4F205E45F5B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init'!$H$1</c15:sqref>
                        </c15:formulaRef>
                      </c:ext>
                    </c:extLst>
                    <c:strCache>
                      <c:ptCount val="1"/>
                      <c:pt idx="0">
                        <c:v>Cluster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init'!$H$2:$H$8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971-4BB7-A67D-4F205E45F5B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init'!$I$1</c15:sqref>
                        </c15:formulaRef>
                      </c:ext>
                    </c:extLst>
                    <c:strCache>
                      <c:ptCount val="1"/>
                      <c:pt idx="0">
                        <c:v>DimensionNames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init'!$I$2:$I$8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971-4BB7-A67D-4F205E45F5B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init'!$K$1</c15:sqref>
                        </c15:formulaRef>
                      </c:ext>
                    </c:extLst>
                    <c:strCache>
                      <c:ptCount val="1"/>
                      <c:pt idx="0">
                        <c:v>Segment_Biggest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init'!$K$2:$K$8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971-4BB7-A67D-4F205E45F5B9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init'!$N$1</c15:sqref>
                        </c15:formulaRef>
                      </c:ext>
                    </c:extLst>
                    <c:strCache>
                      <c:ptCount val="1"/>
                      <c:pt idx="0">
                        <c:v>start_mix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init'!$N$2:$N$8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45548.86</c:v>
                      </c:pt>
                      <c:pt idx="2">
                        <c:v>40152.0518910229</c:v>
                      </c:pt>
                      <c:pt idx="3">
                        <c:v>40066.895403886003</c:v>
                      </c:pt>
                      <c:pt idx="4">
                        <c:v>27768.543600507201</c:v>
                      </c:pt>
                      <c:pt idx="5">
                        <c:v>28897.333414630099</c:v>
                      </c:pt>
                      <c:pt idx="6">
                        <c:v>32747.0099999999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971-4BB7-A67D-4F205E45F5B9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init'!$O$1</c15:sqref>
                        </c15:formulaRef>
                      </c:ext>
                    </c:extLst>
                    <c:strCache>
                      <c:ptCount val="1"/>
                      <c:pt idx="0">
                        <c:v>end_mix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init'!$O$2:$O$8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45548.86</c:v>
                      </c:pt>
                      <c:pt idx="2">
                        <c:v>40173.681383626703</c:v>
                      </c:pt>
                      <c:pt idx="3">
                        <c:v>36621.671552104097</c:v>
                      </c:pt>
                      <c:pt idx="4">
                        <c:v>27747.1640501949</c:v>
                      </c:pt>
                      <c:pt idx="5">
                        <c:v>28783.704917442301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971-4BB7-A67D-4F205E45F5B9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init'!$P$1</c15:sqref>
                        </c15:formulaRef>
                      </c:ext>
                    </c:extLst>
                    <c:strCache>
                      <c:ptCount val="1"/>
                      <c:pt idx="0">
                        <c:v>start_SegPerf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init'!$P$2:$P$8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45548.86</c:v>
                      </c:pt>
                      <c:pt idx="2">
                        <c:v>40173.681383626703</c:v>
                      </c:pt>
                      <c:pt idx="3">
                        <c:v>36621.671552104097</c:v>
                      </c:pt>
                      <c:pt idx="4">
                        <c:v>27747.1640501949</c:v>
                      </c:pt>
                      <c:pt idx="5">
                        <c:v>28783.704917442301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971-4BB7-A67D-4F205E45F5B9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init'!$Q$1</c15:sqref>
                        </c15:formulaRef>
                      </c:ext>
                    </c:extLst>
                    <c:strCache>
                      <c:ptCount val="1"/>
                      <c:pt idx="0">
                        <c:v>end_SegPerf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init'!$Q$2:$Q$8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41492.468416694399</c:v>
                      </c:pt>
                      <c:pt idx="2">
                        <c:v>39936.418620942401</c:v>
                      </c:pt>
                      <c:pt idx="3">
                        <c:v>31255.0241192828</c:v>
                      </c:pt>
                      <c:pt idx="4">
                        <c:v>29588.071718039198</c:v>
                      </c:pt>
                      <c:pt idx="5">
                        <c:v>33109.816542334098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971-4BB7-A67D-4F205E45F5B9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init'!$R$1</c15:sqref>
                        </c15:formulaRef>
                      </c:ext>
                    </c:extLst>
                    <c:strCache>
                      <c:ptCount val="1"/>
                      <c:pt idx="0">
                        <c:v>start_remaining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init'!$R$2:$R$8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1">
                        <c:v>41492.468416694399</c:v>
                      </c:pt>
                      <c:pt idx="2">
                        <c:v>39936.418620942401</c:v>
                      </c:pt>
                      <c:pt idx="3">
                        <c:v>31255.0241192828</c:v>
                      </c:pt>
                      <c:pt idx="4">
                        <c:v>29588.071718039198</c:v>
                      </c:pt>
                      <c:pt idx="5">
                        <c:v>33109.816542334098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971-4BB7-A67D-4F205E45F5B9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init'!$S$1</c15:sqref>
                        </c15:formulaRef>
                      </c:ext>
                    </c:extLst>
                    <c:strCache>
                      <c:ptCount val="1"/>
                      <c:pt idx="0">
                        <c:v>end_remaining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('Summary - init'!$B$2:$B$8,'Summary - init'!$I$2:$I$8)</c15:sqref>
                        </c15:formulaRef>
                      </c:ext>
                    </c:extLst>
                    <c:strCache>
                      <c:ptCount val="13"/>
                      <c:pt idx="0">
                        <c:v>Start</c:v>
                      </c:pt>
                      <c:pt idx="1">
                        <c:v>Users</c:v>
                      </c:pt>
                      <c:pt idx="2">
                        <c:v>Session/ User</c:v>
                      </c:pt>
                      <c:pt idx="3">
                        <c:v>Checkout/ Session</c:v>
                      </c:pt>
                      <c:pt idx="4">
                        <c:v>Purchase/ Checkout</c:v>
                      </c:pt>
                      <c:pt idx="5">
                        <c:v>Revenue/ Purchase</c:v>
                      </c:pt>
                      <c:pt idx="6">
                        <c:v>End</c:v>
                      </c:pt>
                      <c:pt idx="8">
                        <c:v>Medium</c:v>
                      </c:pt>
                      <c:pt idx="9">
                        <c:v>Gender</c:v>
                      </c:pt>
                      <c:pt idx="10">
                        <c:v>Medium</c:v>
                      </c:pt>
                      <c:pt idx="11">
                        <c:v>Gender</c:v>
                      </c:pt>
                      <c:pt idx="12">
                        <c:v>Landing.Page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'Summary - init'!$S$2:$S$8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45548.86</c:v>
                      </c:pt>
                      <c:pt idx="1">
                        <c:v>40152.0518910229</c:v>
                      </c:pt>
                      <c:pt idx="2">
                        <c:v>40066.895403886003</c:v>
                      </c:pt>
                      <c:pt idx="3">
                        <c:v>27768.543600507201</c:v>
                      </c:pt>
                      <c:pt idx="4">
                        <c:v>28897.333414630099</c:v>
                      </c:pt>
                      <c:pt idx="5">
                        <c:v>32747.0099999999</c:v>
                      </c:pt>
                      <c:pt idx="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971-4BB7-A67D-4F205E45F5B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9"/>
          <c:order val="9"/>
          <c:tx>
            <c:strRef>
              <c:f>'Summary - init'!$M$1</c:f>
              <c:strCache>
                <c:ptCount val="1"/>
                <c:pt idx="0">
                  <c:v>TotalDriver_Scaled</c:v>
                </c:pt>
              </c:strCache>
              <c:extLst xmlns:c15="http://schemas.microsoft.com/office/drawing/2012/chart"/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>
                  <a:alpha val="93000"/>
                </a:srgbClr>
              </a:solidFill>
              <a:ln w="12700">
                <a:solidFill>
                  <a:srgbClr val="FFFF00"/>
                </a:solidFill>
              </a:ln>
              <a:effectLst/>
            </c:spPr>
          </c:marker>
          <c:cat>
            <c:strRef>
              <c:f>('Summary - init'!$B$2:$B$8,'Summary - init'!$I$2:$I$8)</c:f>
              <c:strCache>
                <c:ptCount val="13"/>
                <c:pt idx="0">
                  <c:v>Start</c:v>
                </c:pt>
                <c:pt idx="1">
                  <c:v>Users</c:v>
                </c:pt>
                <c:pt idx="2">
                  <c:v>Session/ User</c:v>
                </c:pt>
                <c:pt idx="3">
                  <c:v>Checkout/ Session</c:v>
                </c:pt>
                <c:pt idx="4">
                  <c:v>Purchase/ Checkout</c:v>
                </c:pt>
                <c:pt idx="5">
                  <c:v>Revenue/ Purchase</c:v>
                </c:pt>
                <c:pt idx="6">
                  <c:v>End</c:v>
                </c:pt>
                <c:pt idx="8">
                  <c:v>Medium</c:v>
                </c:pt>
                <c:pt idx="9">
                  <c:v>Gender</c:v>
                </c:pt>
                <c:pt idx="10">
                  <c:v>Medium</c:v>
                </c:pt>
                <c:pt idx="11">
                  <c:v>Gender</c:v>
                </c:pt>
                <c:pt idx="12">
                  <c:v>Landing.Page</c:v>
                </c:pt>
              </c:strCache>
            </c:strRef>
          </c:cat>
          <c:val>
            <c:numRef>
              <c:f>'Summary - init'!$M$2:$M$8</c:f>
              <c:numCache>
                <c:formatCode>General</c:formatCode>
                <c:ptCount val="7"/>
                <c:pt idx="1">
                  <c:v>-5396.8081089770803</c:v>
                </c:pt>
                <c:pt idx="2">
                  <c:v>-85.156487136899003</c:v>
                </c:pt>
                <c:pt idx="3">
                  <c:v>-12298.3518033788</c:v>
                </c:pt>
                <c:pt idx="4">
                  <c:v>1128.78981412293</c:v>
                </c:pt>
                <c:pt idx="5">
                  <c:v>3849.6765853698098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9-7971-4BB7-A67D-4F205E45F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5207263"/>
        <c:axId val="1639073535"/>
      </c:lineChart>
      <c:catAx>
        <c:axId val="168520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solidFill>
            <a:sysClr val="window" lastClr="FFFFFF"/>
          </a:solidFill>
          <a:ln w="12700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39073535"/>
        <c:crosses val="autoZero"/>
        <c:auto val="1"/>
        <c:lblAlgn val="ctr"/>
        <c:lblOffset val="100"/>
        <c:noMultiLvlLbl val="0"/>
      </c:catAx>
      <c:valAx>
        <c:axId val="163907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5207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Detailed</a:t>
            </a:r>
            <a:r>
              <a:rPr lang="fr-FR" baseline="0"/>
              <a:t> view on selected step &amp; dimension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'Detailed - init'!$C$1</c:f>
              <c:strCache>
                <c:ptCount val="1"/>
                <c:pt idx="0">
                  <c:v>DenomStart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'Detailed - init'!$A$2:$A$5</c:f>
              <c:strCache>
                <c:ptCount val="4"/>
                <c:pt idx="0">
                  <c:v>organic</c:v>
                </c:pt>
                <c:pt idx="1">
                  <c:v>referral</c:v>
                </c:pt>
                <c:pt idx="2">
                  <c:v>(none)</c:v>
                </c:pt>
                <c:pt idx="3">
                  <c:v>Other</c:v>
                </c:pt>
              </c:strCache>
            </c:strRef>
          </c:cat>
          <c:val>
            <c:numRef>
              <c:f>'Detailed - init'!$C$2:$C$5</c:f>
              <c:numCache>
                <c:formatCode>General</c:formatCode>
                <c:ptCount val="4"/>
                <c:pt idx="0">
                  <c:v>4191</c:v>
                </c:pt>
                <c:pt idx="1">
                  <c:v>3605</c:v>
                </c:pt>
                <c:pt idx="2">
                  <c:v>982</c:v>
                </c:pt>
                <c:pt idx="3">
                  <c:v>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BA-4530-9EF9-F4A3805419CF}"/>
            </c:ext>
          </c:extLst>
        </c:ser>
        <c:ser>
          <c:idx val="3"/>
          <c:order val="3"/>
          <c:tx>
            <c:strRef>
              <c:f>'Detailed - init'!$E$1</c:f>
              <c:strCache>
                <c:ptCount val="1"/>
                <c:pt idx="0">
                  <c:v>DenomEnd</c:v>
                </c:pt>
              </c:strCache>
            </c:strRef>
          </c:tx>
          <c:spPr>
            <a:solidFill>
              <a:srgbClr val="9DC3E6"/>
            </a:solidFill>
            <a:ln>
              <a:noFill/>
            </a:ln>
            <a:effectLst/>
          </c:spPr>
          <c:invertIfNegative val="0"/>
          <c:cat>
            <c:strRef>
              <c:f>'Detailed - init'!$A$2:$A$5</c:f>
              <c:strCache>
                <c:ptCount val="4"/>
                <c:pt idx="0">
                  <c:v>organic</c:v>
                </c:pt>
                <c:pt idx="1">
                  <c:v>referral</c:v>
                </c:pt>
                <c:pt idx="2">
                  <c:v>(none)</c:v>
                </c:pt>
                <c:pt idx="3">
                  <c:v>Other</c:v>
                </c:pt>
              </c:strCache>
            </c:strRef>
          </c:cat>
          <c:val>
            <c:numRef>
              <c:f>'Detailed - init'!$E$2:$E$5</c:f>
              <c:numCache>
                <c:formatCode>General</c:formatCode>
                <c:ptCount val="4"/>
                <c:pt idx="0">
                  <c:v>4092</c:v>
                </c:pt>
                <c:pt idx="1">
                  <c:v>2723</c:v>
                </c:pt>
                <c:pt idx="2">
                  <c:v>745</c:v>
                </c:pt>
                <c:pt idx="3">
                  <c:v>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BA-4530-9EF9-F4A380541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1615119"/>
        <c:axId val="161711534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'Detailed - init'!$B$1</c15:sqref>
                        </c15:formulaRef>
                      </c:ext>
                    </c:extLst>
                    <c:strCache>
                      <c:ptCount val="1"/>
                      <c:pt idx="0">
                        <c:v>NumStart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'Detailed - init'!$B$2:$B$5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100</c:v>
                      </c:pt>
                      <c:pt idx="1">
                        <c:v>268</c:v>
                      </c:pt>
                      <c:pt idx="2">
                        <c:v>24</c:v>
                      </c:pt>
                      <c:pt idx="3">
                        <c:v>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6CBA-4530-9EF9-F4A3805419CF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init'!$D$1</c15:sqref>
                        </c15:formulaRef>
                      </c:ext>
                    </c:extLst>
                    <c:strCache>
                      <c:ptCount val="1"/>
                      <c:pt idx="0">
                        <c:v>NumEnd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init'!$D$2:$D$5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52.5</c:v>
                      </c:pt>
                      <c:pt idx="1">
                        <c:v>184.5</c:v>
                      </c:pt>
                      <c:pt idx="2">
                        <c:v>13.5</c:v>
                      </c:pt>
                      <c:pt idx="3">
                        <c:v>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CBA-4530-9EF9-F4A3805419CF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init'!$F$1</c15:sqref>
                        </c15:formulaRef>
                      </c:ext>
                    </c:extLst>
                    <c:strCache>
                      <c:ptCount val="1"/>
                      <c:pt idx="0">
                        <c:v>MixStart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init'!$F$2:$F$5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0.43497664763881699</c:v>
                      </c:pt>
                      <c:pt idx="1">
                        <c:v>0.37415672029060698</c:v>
                      </c:pt>
                      <c:pt idx="2">
                        <c:v>0.101920083030618</c:v>
                      </c:pt>
                      <c:pt idx="3">
                        <c:v>8.8946549039958495E-2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CBA-4530-9EF9-F4A3805419CF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init'!$G$1</c15:sqref>
                        </c15:formulaRef>
                      </c:ext>
                    </c:extLst>
                    <c:strCache>
                      <c:ptCount val="1"/>
                      <c:pt idx="0">
                        <c:v>MixEnd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init'!$G$2:$G$5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0.48192203509598402</c:v>
                      </c:pt>
                      <c:pt idx="1">
                        <c:v>0.32069249793899401</c:v>
                      </c:pt>
                      <c:pt idx="2">
                        <c:v>8.7739959957602198E-2</c:v>
                      </c:pt>
                      <c:pt idx="3">
                        <c:v>0.10964550700742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CBA-4530-9EF9-F4A3805419CF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init'!$H$1</c15:sqref>
                        </c15:formulaRef>
                      </c:ext>
                    </c:extLst>
                    <c:strCache>
                      <c:ptCount val="1"/>
                      <c:pt idx="0">
                        <c:v>MixDelta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init'!$H$2:$H$5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4.6945387457167101E-2</c:v>
                      </c:pt>
                      <c:pt idx="1">
                        <c:v>-5.3464222351612897E-2</c:v>
                      </c:pt>
                      <c:pt idx="2">
                        <c:v>-1.41801230730154E-2</c:v>
                      </c:pt>
                      <c:pt idx="3">
                        <c:v>2.0698957967461101E-2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CBA-4530-9EF9-F4A3805419CF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init'!$K$1</c15:sqref>
                        </c15:formulaRef>
                      </c:ext>
                    </c:extLst>
                    <c:strCache>
                      <c:ptCount val="1"/>
                      <c:pt idx="0">
                        <c:v>RatioPercentCh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init'!$K$2:$K$5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-0.46229838709677401</c:v>
                      </c:pt>
                      <c:pt idx="1">
                        <c:v>-8.85786363810767E-2</c:v>
                      </c:pt>
                      <c:pt idx="2">
                        <c:v>-0.25855704697986598</c:v>
                      </c:pt>
                      <c:pt idx="3">
                        <c:v>0.10461868958109601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CBA-4530-9EF9-F4A3805419CF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init'!$L$1</c15:sqref>
                        </c15:formulaRef>
                      </c:ext>
                    </c:extLst>
                    <c:strCache>
                      <c:ptCount val="1"/>
                      <c:pt idx="0">
                        <c:v>RatioDriver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init'!$L$2:$L$5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-4.7981150710614904E-3</c:v>
                      </c:pt>
                      <c:pt idx="1">
                        <c:v>-2.4638375246630599E-3</c:v>
                      </c:pt>
                      <c:pt idx="2">
                        <c:v>-6.4404453840340202E-4</c:v>
                      </c:pt>
                      <c:pt idx="3">
                        <c:v>5.4290965013542102E-5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CBA-4530-9EF9-F4A3805419CF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init'!$M$1</c15:sqref>
                        </c15:formulaRef>
                      </c:ext>
                    </c:extLst>
                    <c:strCache>
                      <c:ptCount val="1"/>
                      <c:pt idx="0">
                        <c:v>MixDriver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init'!$M$2:$M$5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-2.98000035204529E-4</c:v>
                      </c:pt>
                      <c:pt idx="1">
                        <c:v>-2.3595224519530199E-3</c:v>
                      </c:pt>
                      <c:pt idx="2">
                        <c:v>8.1798571398464899E-5</c:v>
                      </c:pt>
                      <c:pt idx="3">
                        <c:v>-5.0451951244109903E-4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CBA-4530-9EF9-F4A3805419CF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init'!$N$1</c15:sqref>
                        </c15:formulaRef>
                      </c:ext>
                    </c:extLst>
                    <c:strCache>
                      <c:ptCount val="1"/>
                      <c:pt idx="0">
                        <c:v>BothDriver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init'!$N$2:$N$5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-5.1784244579053905E-4</c:v>
                      </c:pt>
                      <c:pt idx="1">
                        <c:v>3.52064122099747E-4</c:v>
                      </c:pt>
                      <c:pt idx="2">
                        <c:v>8.9605802384600799E-5</c:v>
                      </c:pt>
                      <c:pt idx="3">
                        <c:v>1.2634176535880799E-5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CBA-4530-9EF9-F4A3805419C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init'!$O$1</c15:sqref>
                        </c15:formulaRef>
                      </c:ext>
                    </c:extLst>
                    <c:strCache>
                      <c:ptCount val="1"/>
                      <c:pt idx="0">
                        <c:v>TotalDriver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init'!$O$2:$O$5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-5.6139575520565499E-3</c:v>
                      </c:pt>
                      <c:pt idx="1">
                        <c:v>-4.4712958545163302E-3</c:v>
                      </c:pt>
                      <c:pt idx="2">
                        <c:v>-4.72640164620336E-4</c:v>
                      </c:pt>
                      <c:pt idx="3">
                        <c:v>-4.3759437089167601E-4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CBA-4530-9EF9-F4A3805419CF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init'!$P$1</c15:sqref>
                        </c15:formulaRef>
                      </c:ext>
                    </c:extLst>
                    <c:strCache>
                      <c:ptCount val="1"/>
                      <c:pt idx="0">
                        <c:v>RatioDriver_Scaled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init'!$P$2:$P$5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-5366.6474328213299</c:v>
                      </c:pt>
                      <c:pt idx="1">
                        <c:v>-2755.7795365038301</c:v>
                      </c:pt>
                      <c:pt idx="2">
                        <c:v>-720.35787334307599</c:v>
                      </c:pt>
                      <c:pt idx="3">
                        <c:v>60.723943402812303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CBA-4530-9EF9-F4A3805419CF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init'!$Q$1</c15:sqref>
                        </c15:formulaRef>
                      </c:ext>
                    </c:extLst>
                    <c:strCache>
                      <c:ptCount val="1"/>
                      <c:pt idx="0">
                        <c:v>MixDriver_Scaled</c:v>
                      </c:pt>
                    </c:strCache>
                  </c:strRef>
                </c:tx>
                <c:spPr>
                  <a:solidFill>
                    <a:schemeClr val="accent4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init'!$Q$2:$Q$5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-333.31028960863398</c:v>
                      </c:pt>
                      <c:pt idx="1">
                        <c:v>-2639.1040902352902</c:v>
                      </c:pt>
                      <c:pt idx="2">
                        <c:v>91.490947320466702</c:v>
                      </c:pt>
                      <c:pt idx="3">
                        <c:v>-564.30041925845205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CBA-4530-9EF9-F4A3805419CF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init'!$R$1</c15:sqref>
                        </c15:formulaRef>
                      </c:ext>
                    </c:extLst>
                    <c:strCache>
                      <c:ptCount val="1"/>
                      <c:pt idx="0">
                        <c:v>BothDriver_Scaled</c:v>
                      </c:pt>
                    </c:strCache>
                  </c:strRef>
                </c:tx>
                <c:spPr>
                  <a:solidFill>
                    <a:schemeClr val="accent5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init'!$R$2:$R$5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-579.20199727367105</c:v>
                      </c:pt>
                      <c:pt idx="1">
                        <c:v>393.78047192959701</c:v>
                      </c:pt>
                      <c:pt idx="2">
                        <c:v>100.223263137961</c:v>
                      </c:pt>
                      <c:pt idx="3">
                        <c:v>14.131209874692701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CBA-4530-9EF9-F4A3805419CF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init'!$S$1</c15:sqref>
                        </c15:formulaRef>
                      </c:ext>
                    </c:extLst>
                    <c:strCache>
                      <c:ptCount val="1"/>
                      <c:pt idx="0">
                        <c:v>TotalDriver_Scaled</c:v>
                      </c:pt>
                    </c:strCache>
                  </c:strRef>
                </c:tx>
                <c:spPr>
                  <a:solidFill>
                    <a:schemeClr val="accent6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'Detailed - init'!$A$2:$A$5</c15:sqref>
                        </c15:formulaRef>
                      </c:ext>
                    </c:extLst>
                    <c:strCache>
                      <c:ptCount val="4"/>
                      <c:pt idx="0">
                        <c:v>organic</c:v>
                      </c:pt>
                      <c:pt idx="1">
                        <c:v>referral</c:v>
                      </c:pt>
                      <c:pt idx="2">
                        <c:v>(none)</c:v>
                      </c:pt>
                      <c:pt idx="3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'Detailed - init'!$S$2:$S$5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-6279.1597197036299</c:v>
                      </c:pt>
                      <c:pt idx="1">
                        <c:v>-5001.1031548095198</c:v>
                      </c:pt>
                      <c:pt idx="2">
                        <c:v>-528.64366288464805</c:v>
                      </c:pt>
                      <c:pt idx="3">
                        <c:v>-489.445265980947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CBA-4530-9EF9-F4A3805419CF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7"/>
          <c:order val="7"/>
          <c:tx>
            <c:strRef>
              <c:f>'Detailed - init'!$I$1</c:f>
              <c:strCache>
                <c:ptCount val="1"/>
                <c:pt idx="0">
                  <c:v>RatioStart</c:v>
                </c:pt>
              </c:strCache>
            </c:strRef>
          </c:tx>
          <c:spPr>
            <a:ln w="28575" cap="rnd">
              <a:solidFill>
                <a:srgbClr val="FF66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FF6600"/>
                </a:solidFill>
              </a:ln>
              <a:effectLst/>
            </c:spPr>
          </c:marker>
          <c:cat>
            <c:strRef>
              <c:f>'Detailed - init'!$A$2:$A$5</c:f>
              <c:strCache>
                <c:ptCount val="4"/>
                <c:pt idx="0">
                  <c:v>organic</c:v>
                </c:pt>
                <c:pt idx="1">
                  <c:v>referral</c:v>
                </c:pt>
                <c:pt idx="2">
                  <c:v>(none)</c:v>
                </c:pt>
                <c:pt idx="3">
                  <c:v>Other</c:v>
                </c:pt>
              </c:strCache>
            </c:strRef>
          </c:cat>
          <c:val>
            <c:numRef>
              <c:f>'Detailed - init'!$I$2:$I$5</c:f>
              <c:numCache>
                <c:formatCode>General</c:formatCode>
                <c:ptCount val="4"/>
                <c:pt idx="0">
                  <c:v>2.3860653781913599E-2</c:v>
                </c:pt>
                <c:pt idx="1">
                  <c:v>7.4341192787794705E-2</c:v>
                </c:pt>
                <c:pt idx="2">
                  <c:v>2.4439918533604901E-2</c:v>
                </c:pt>
                <c:pt idx="3">
                  <c:v>5.8343057176195997E-3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BA-4530-9EF9-F4A3805419CF}"/>
            </c:ext>
          </c:extLst>
        </c:ser>
        <c:ser>
          <c:idx val="8"/>
          <c:order val="8"/>
          <c:tx>
            <c:strRef>
              <c:f>'Detailed - init'!$J$1</c:f>
              <c:strCache>
                <c:ptCount val="1"/>
                <c:pt idx="0">
                  <c:v>RatioEnd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'Detailed - init'!$A$2:$A$5</c:f>
              <c:strCache>
                <c:ptCount val="4"/>
                <c:pt idx="0">
                  <c:v>organic</c:v>
                </c:pt>
                <c:pt idx="1">
                  <c:v>referral</c:v>
                </c:pt>
                <c:pt idx="2">
                  <c:v>(none)</c:v>
                </c:pt>
                <c:pt idx="3">
                  <c:v>Other</c:v>
                </c:pt>
              </c:strCache>
            </c:strRef>
          </c:cat>
          <c:val>
            <c:numRef>
              <c:f>'Detailed - init'!$J$2:$J$5</c:f>
              <c:numCache>
                <c:formatCode>General</c:formatCode>
                <c:ptCount val="4"/>
                <c:pt idx="0">
                  <c:v>1.2829912023460399E-2</c:v>
                </c:pt>
                <c:pt idx="1">
                  <c:v>6.77561513037091E-2</c:v>
                </c:pt>
                <c:pt idx="2">
                  <c:v>1.81208053691275E-2</c:v>
                </c:pt>
                <c:pt idx="3">
                  <c:v>6.44468313641246E-3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BA-4530-9EF9-F4A380541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5029663"/>
        <c:axId val="1629087455"/>
      </c:lineChart>
      <c:catAx>
        <c:axId val="1781615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7115343"/>
        <c:crosses val="autoZero"/>
        <c:auto val="1"/>
        <c:lblAlgn val="ctr"/>
        <c:lblOffset val="100"/>
        <c:noMultiLvlLbl val="0"/>
      </c:catAx>
      <c:valAx>
        <c:axId val="161711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81615119"/>
        <c:crosses val="autoZero"/>
        <c:crossBetween val="between"/>
      </c:valAx>
      <c:valAx>
        <c:axId val="162908745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5029663"/>
        <c:crosses val="max"/>
        <c:crossBetween val="between"/>
      </c:valAx>
      <c:catAx>
        <c:axId val="168502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29087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Mix effect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Mix!$B$1</c:f>
              <c:strCache>
                <c:ptCount val="1"/>
                <c:pt idx="0">
                  <c:v>Medium_Mix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Mix!$A$2:$A$8</c:f>
              <c:strCache>
                <c:ptCount val="7"/>
                <c:pt idx="0">
                  <c:v>Start</c:v>
                </c:pt>
                <c:pt idx="1">
                  <c:v>Users</c:v>
                </c:pt>
                <c:pt idx="2">
                  <c:v>Session/ User</c:v>
                </c:pt>
                <c:pt idx="3">
                  <c:v>Checkout/ Session</c:v>
                </c:pt>
                <c:pt idx="4">
                  <c:v>Purchase/ Checkout</c:v>
                </c:pt>
                <c:pt idx="5">
                  <c:v>Revenue/ Purchase</c:v>
                </c:pt>
                <c:pt idx="6">
                  <c:v>End</c:v>
                </c:pt>
              </c:strCache>
            </c:strRef>
          </c:cat>
          <c:val>
            <c:numRef>
              <c:f>Mix!$B$2:$B$8</c:f>
              <c:numCache>
                <c:formatCode>General</c:formatCode>
                <c:ptCount val="7"/>
                <c:pt idx="1">
                  <c:v>0</c:v>
                </c:pt>
                <c:pt idx="2">
                  <c:v>49.8650128772234</c:v>
                </c:pt>
                <c:pt idx="3">
                  <c:v>-3445.2238517819101</c:v>
                </c:pt>
                <c:pt idx="4">
                  <c:v>1211.4920106735999</c:v>
                </c:pt>
                <c:pt idx="5">
                  <c:v>227.51968742210599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7-4BFF-B8D3-FEBE78D915CC}"/>
            </c:ext>
          </c:extLst>
        </c:ser>
        <c:ser>
          <c:idx val="1"/>
          <c:order val="1"/>
          <c:tx>
            <c:strRef>
              <c:f>Mix!$C$1</c:f>
              <c:strCache>
                <c:ptCount val="1"/>
                <c:pt idx="0">
                  <c:v>Device.Category_Mix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cat>
            <c:strRef>
              <c:f>Mix!$A$2:$A$8</c:f>
              <c:strCache>
                <c:ptCount val="7"/>
                <c:pt idx="0">
                  <c:v>Start</c:v>
                </c:pt>
                <c:pt idx="1">
                  <c:v>Users</c:v>
                </c:pt>
                <c:pt idx="2">
                  <c:v>Session/ User</c:v>
                </c:pt>
                <c:pt idx="3">
                  <c:v>Checkout/ Session</c:v>
                </c:pt>
                <c:pt idx="4">
                  <c:v>Purchase/ Checkout</c:v>
                </c:pt>
                <c:pt idx="5">
                  <c:v>Revenue/ Purchase</c:v>
                </c:pt>
                <c:pt idx="6">
                  <c:v>End</c:v>
                </c:pt>
              </c:strCache>
            </c:strRef>
          </c:cat>
          <c:val>
            <c:numRef>
              <c:f>Mix!$C$2:$C$8</c:f>
              <c:numCache>
                <c:formatCode>General</c:formatCode>
                <c:ptCount val="7"/>
                <c:pt idx="1">
                  <c:v>0</c:v>
                </c:pt>
                <c:pt idx="2">
                  <c:v>38.342945302372598</c:v>
                </c:pt>
                <c:pt idx="3">
                  <c:v>-1513.9595025537999</c:v>
                </c:pt>
                <c:pt idx="4">
                  <c:v>308.77990296758401</c:v>
                </c:pt>
                <c:pt idx="5">
                  <c:v>241.60683909413399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7-4BFF-B8D3-FEBE78D915CC}"/>
            </c:ext>
          </c:extLst>
        </c:ser>
        <c:ser>
          <c:idx val="2"/>
          <c:order val="2"/>
          <c:tx>
            <c:strRef>
              <c:f>Mix!$D$1</c:f>
              <c:strCache>
                <c:ptCount val="1"/>
                <c:pt idx="0">
                  <c:v>Landing.Page_Mix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Mix!$A$2:$A$8</c:f>
              <c:strCache>
                <c:ptCount val="7"/>
                <c:pt idx="0">
                  <c:v>Start</c:v>
                </c:pt>
                <c:pt idx="1">
                  <c:v>Users</c:v>
                </c:pt>
                <c:pt idx="2">
                  <c:v>Session/ User</c:v>
                </c:pt>
                <c:pt idx="3">
                  <c:v>Checkout/ Session</c:v>
                </c:pt>
                <c:pt idx="4">
                  <c:v>Purchase/ Checkout</c:v>
                </c:pt>
                <c:pt idx="5">
                  <c:v>Revenue/ Purchase</c:v>
                </c:pt>
                <c:pt idx="6">
                  <c:v>End</c:v>
                </c:pt>
              </c:strCache>
            </c:strRef>
          </c:cat>
          <c:val>
            <c:numRef>
              <c:f>Mix!$D$2:$D$8</c:f>
              <c:numCache>
                <c:formatCode>General</c:formatCode>
                <c:ptCount val="7"/>
                <c:pt idx="1">
                  <c:v>0</c:v>
                </c:pt>
                <c:pt idx="2">
                  <c:v>80.743092485370099</c:v>
                </c:pt>
                <c:pt idx="3">
                  <c:v>299.193337866033</c:v>
                </c:pt>
                <c:pt idx="4">
                  <c:v>-71.643279865805894</c:v>
                </c:pt>
                <c:pt idx="5">
                  <c:v>-113.628497187813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67-4BFF-B8D3-FEBE78D915CC}"/>
            </c:ext>
          </c:extLst>
        </c:ser>
        <c:ser>
          <c:idx val="3"/>
          <c:order val="3"/>
          <c:tx>
            <c:strRef>
              <c:f>Mix!$E$1</c:f>
              <c:strCache>
                <c:ptCount val="1"/>
                <c:pt idx="0">
                  <c:v>Gender_Mix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Mix!$A$2:$A$8</c:f>
              <c:strCache>
                <c:ptCount val="7"/>
                <c:pt idx="0">
                  <c:v>Start</c:v>
                </c:pt>
                <c:pt idx="1">
                  <c:v>Users</c:v>
                </c:pt>
                <c:pt idx="2">
                  <c:v>Session/ User</c:v>
                </c:pt>
                <c:pt idx="3">
                  <c:v>Checkout/ Session</c:v>
                </c:pt>
                <c:pt idx="4">
                  <c:v>Purchase/ Checkout</c:v>
                </c:pt>
                <c:pt idx="5">
                  <c:v>Revenue/ Purchase</c:v>
                </c:pt>
                <c:pt idx="6">
                  <c:v>End</c:v>
                </c:pt>
              </c:strCache>
            </c:strRef>
          </c:cat>
          <c:val>
            <c:numRef>
              <c:f>Mix!$E$2:$E$8</c:f>
              <c:numCache>
                <c:formatCode>General</c:formatCode>
                <c:ptCount val="7"/>
                <c:pt idx="1">
                  <c:v>0</c:v>
                </c:pt>
                <c:pt idx="2">
                  <c:v>21.629492603820601</c:v>
                </c:pt>
                <c:pt idx="3">
                  <c:v>-92.188833818324198</c:v>
                </c:pt>
                <c:pt idx="4">
                  <c:v>-21.379550312294999</c:v>
                </c:pt>
                <c:pt idx="5">
                  <c:v>-88.763087807724006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0-490B-A773-0DBE673E953E}"/>
            </c:ext>
          </c:extLst>
        </c:ser>
        <c:ser>
          <c:idx val="4"/>
          <c:order val="4"/>
          <c:tx>
            <c:strRef>
              <c:f>Mix!$F$1</c:f>
              <c:strCache>
                <c:ptCount val="1"/>
                <c:pt idx="0">
                  <c:v>Combined_Dimension_Mix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Mix!$A$2:$A$8</c:f>
              <c:strCache>
                <c:ptCount val="7"/>
                <c:pt idx="0">
                  <c:v>Start</c:v>
                </c:pt>
                <c:pt idx="1">
                  <c:v>Users</c:v>
                </c:pt>
                <c:pt idx="2">
                  <c:v>Session/ User</c:v>
                </c:pt>
                <c:pt idx="3">
                  <c:v>Checkout/ Session</c:v>
                </c:pt>
                <c:pt idx="4">
                  <c:v>Purchase/ Checkout</c:v>
                </c:pt>
                <c:pt idx="5">
                  <c:v>Revenue/ Purchase</c:v>
                </c:pt>
                <c:pt idx="6">
                  <c:v>End</c:v>
                </c:pt>
              </c:strCache>
            </c:strRef>
          </c:cat>
          <c:val>
            <c:numRef>
              <c:f>Mix!$F$2:$F$8</c:f>
              <c:numCache>
                <c:formatCode>General</c:formatCode>
                <c:ptCount val="7"/>
                <c:pt idx="1">
                  <c:v>0</c:v>
                </c:pt>
                <c:pt idx="2">
                  <c:v>136.343500426681</c:v>
                </c:pt>
                <c:pt idx="3">
                  <c:v>-3138.59873441745</c:v>
                </c:pt>
                <c:pt idx="4">
                  <c:v>-1153.5827382211701</c:v>
                </c:pt>
                <c:pt idx="5">
                  <c:v>-1882.36480081485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0-490B-A773-0DBE673E9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1573119"/>
        <c:axId val="1783943343"/>
      </c:barChart>
      <c:catAx>
        <c:axId val="1781573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solidFill>
            <a:schemeClr val="bg1">
              <a:lumMod val="95000"/>
            </a:schemeClr>
          </a:solidFill>
          <a:ln w="12700" cap="flat" cmpd="sng" algn="ctr">
            <a:solidFill>
              <a:srgbClr val="00206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83943343"/>
        <c:crosses val="autoZero"/>
        <c:auto val="1"/>
        <c:lblAlgn val="ctr"/>
        <c:lblOffset val="100"/>
        <c:noMultiLvlLbl val="0"/>
      </c:catAx>
      <c:valAx>
        <c:axId val="178394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81573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6</xdr:row>
      <xdr:rowOff>47625</xdr:rowOff>
    </xdr:from>
    <xdr:to>
      <xdr:col>17</xdr:col>
      <xdr:colOff>0</xdr:colOff>
      <xdr:row>22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E5FF9C-7F0E-4C76-8941-996EB1779B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323850</xdr:colOff>
      <xdr:row>25</xdr:row>
      <xdr:rowOff>76200</xdr:rowOff>
    </xdr:from>
    <xdr:to>
      <xdr:col>9</xdr:col>
      <xdr:colOff>19050</xdr:colOff>
      <xdr:row>39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878A25-F228-4FB2-A48E-E12526E64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523875</xdr:colOff>
      <xdr:row>25</xdr:row>
      <xdr:rowOff>142875</xdr:rowOff>
    </xdr:from>
    <xdr:to>
      <xdr:col>17</xdr:col>
      <xdr:colOff>219075</xdr:colOff>
      <xdr:row>40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6E8F05-AC10-4CA2-AA13-AE233673D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257175</xdr:colOff>
      <xdr:row>42</xdr:row>
      <xdr:rowOff>133350</xdr:rowOff>
    </xdr:from>
    <xdr:to>
      <xdr:col>17</xdr:col>
      <xdr:colOff>371475</xdr:colOff>
      <xdr:row>60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6BC7F1E-A76B-4044-B439-6D443C85D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4" displayName="Table4" ref="A1:R8" totalsRowShown="0">
  <autoFilter ref="A1:R8" xr:uid="{00000000-0009-0000-0100-000004000000}"/>
  <tableColumns count="18">
    <tableColumn id="1" xr3:uid="{00000000-0010-0000-0100-000001000000}" name="Step_Number"/>
    <tableColumn id="2" xr3:uid="{00000000-0010-0000-0100-000002000000}" name="Step_Name"/>
    <tableColumn id="3" xr3:uid="{00000000-0010-0000-0100-000003000000}" name="Num_Start"/>
    <tableColumn id="4" xr3:uid="{00000000-0010-0000-0100-000004000000}" name="Denom_Start"/>
    <tableColumn id="5" xr3:uid="{00000000-0010-0000-0100-000005000000}" name="Num_End"/>
    <tableColumn id="6" xr3:uid="{00000000-0010-0000-0100-000006000000}" name="Denom_End"/>
    <tableColumn id="7" xr3:uid="{00000000-0010-0000-0100-000007000000}" name="RatioStart"/>
    <tableColumn id="8" xr3:uid="{00000000-0010-0000-0100-000008000000}" name="RatioEnd"/>
    <tableColumn id="9" xr3:uid="{00000000-0010-0000-0100-000009000000}" name="RedistributedGap"/>
    <tableColumn id="10" xr3:uid="{00000000-0010-0000-0100-00000A000000}" name="RelativeChange" dataDxfId="0"/>
    <tableColumn id="11" xr3:uid="{00000000-0010-0000-0100-00000B000000}" name="BpsDelta"/>
    <tableColumn id="12" xr3:uid="{00000000-0010-0000-0100-00000C000000}" name="values"/>
    <tableColumn id="13" xr3:uid="{00000000-0010-0000-0100-00000D000000}" name="totals"/>
    <tableColumn id="14" xr3:uid="{00000000-0010-0000-0100-00000E000000}" name="blank"/>
    <tableColumn id="15" xr3:uid="{00000000-0010-0000-0100-00000F000000}" name="up_pos"/>
    <tableColumn id="16" xr3:uid="{00000000-0010-0000-0100-000010000000}" name="up_neg"/>
    <tableColumn id="17" xr3:uid="{00000000-0010-0000-0100-000011000000}" name="down_pos"/>
    <tableColumn id="18" xr3:uid="{00000000-0010-0000-0100-000012000000}" name="down_neg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5" displayName="Table5" ref="A1:S8" totalsRowShown="0">
  <autoFilter ref="A1:S8" xr:uid="{00000000-0009-0000-0100-000005000000}"/>
  <tableColumns count="19">
    <tableColumn id="1" xr3:uid="{00000000-0010-0000-0200-000001000000}" name="id"/>
    <tableColumn id="2" xr3:uid="{00000000-0010-0000-0200-000002000000}" name="Step_Name"/>
    <tableColumn id="3" xr3:uid="{00000000-0010-0000-0200-000003000000}" name="type"/>
    <tableColumn id="4" xr3:uid="{00000000-0010-0000-0200-000004000000}" name="start"/>
    <tableColumn id="5" xr3:uid="{00000000-0010-0000-0200-000005000000}" name="end"/>
    <tableColumn id="6" xr3:uid="{00000000-0010-0000-0200-000006000000}" name="RedistributedGap"/>
    <tableColumn id="7" xr3:uid="{00000000-0010-0000-0200-000007000000}" name="Step"/>
    <tableColumn id="8" xr3:uid="{00000000-0010-0000-0200-000008000000}" name="Cluster"/>
    <tableColumn id="9" xr3:uid="{00000000-0010-0000-0200-000009000000}" name="DimensionNames"/>
    <tableColumn id="10" xr3:uid="{00000000-0010-0000-0200-00000A000000}" name="MixDriver_Scaled"/>
    <tableColumn id="11" xr3:uid="{00000000-0010-0000-0200-00000B000000}" name="Segment_Biggest"/>
    <tableColumn id="12" xr3:uid="{00000000-0010-0000-0200-00000C000000}" name="RatioDriver_Scaled_Biggest"/>
    <tableColumn id="13" xr3:uid="{00000000-0010-0000-0200-00000D000000}" name="TotalDriver_Scaled"/>
    <tableColumn id="14" xr3:uid="{00000000-0010-0000-0200-00000E000000}" name="start_mix"/>
    <tableColumn id="15" xr3:uid="{00000000-0010-0000-0200-00000F000000}" name="end_mix"/>
    <tableColumn id="16" xr3:uid="{00000000-0010-0000-0200-000010000000}" name="start_SegPerf"/>
    <tableColumn id="17" xr3:uid="{00000000-0010-0000-0200-000011000000}" name="end_SegPerf"/>
    <tableColumn id="18" xr3:uid="{00000000-0010-0000-0200-000012000000}" name="start_remaining"/>
    <tableColumn id="19" xr3:uid="{00000000-0010-0000-0200-000013000000}" name="end_remaining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e6" displayName="Table6" ref="A1:S5" totalsRowShown="0">
  <autoFilter ref="A1:S5" xr:uid="{00000000-0009-0000-0100-000006000000}"/>
  <tableColumns count="19">
    <tableColumn id="1" xr3:uid="{00000000-0010-0000-0300-000001000000}" name="Segment"/>
    <tableColumn id="2" xr3:uid="{00000000-0010-0000-0300-000002000000}" name="NumStart"/>
    <tableColumn id="3" xr3:uid="{00000000-0010-0000-0300-000003000000}" name="DenomStart"/>
    <tableColumn id="4" xr3:uid="{00000000-0010-0000-0300-000004000000}" name="NumEnd"/>
    <tableColumn id="5" xr3:uid="{00000000-0010-0000-0300-000005000000}" name="DenomEnd"/>
    <tableColumn id="6" xr3:uid="{00000000-0010-0000-0300-000006000000}" name="MixStart"/>
    <tableColumn id="7" xr3:uid="{00000000-0010-0000-0300-000007000000}" name="MixEnd"/>
    <tableColumn id="8" xr3:uid="{00000000-0010-0000-0300-000008000000}" name="MixDelta"/>
    <tableColumn id="9" xr3:uid="{00000000-0010-0000-0300-000009000000}" name="RatioStart"/>
    <tableColumn id="10" xr3:uid="{00000000-0010-0000-0300-00000A000000}" name="RatioEnd"/>
    <tableColumn id="11" xr3:uid="{00000000-0010-0000-0300-00000B000000}" name="RatioPercentCh"/>
    <tableColumn id="12" xr3:uid="{00000000-0010-0000-0300-00000C000000}" name="RatioDriver"/>
    <tableColumn id="13" xr3:uid="{00000000-0010-0000-0300-00000D000000}" name="MixDriver"/>
    <tableColumn id="14" xr3:uid="{00000000-0010-0000-0300-00000E000000}" name="BothDriver"/>
    <tableColumn id="15" xr3:uid="{00000000-0010-0000-0300-00000F000000}" name="TotalDriver"/>
    <tableColumn id="16" xr3:uid="{00000000-0010-0000-0300-000010000000}" name="RatioDriver_Scaled"/>
    <tableColumn id="17" xr3:uid="{00000000-0010-0000-0300-000011000000}" name="MixDriver_Scaled"/>
    <tableColumn id="18" xr3:uid="{00000000-0010-0000-0300-000012000000}" name="BothDriver_Scaled"/>
    <tableColumn id="19" xr3:uid="{00000000-0010-0000-0300-000013000000}" name="TotalDriver_Scaled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55CE10-57DF-467C-9C0C-74AE0EFD12DB}" name="Table68" displayName="Table68" ref="A1:F8" totalsRowShown="0">
  <autoFilter ref="A1:F8" xr:uid="{2573D79A-DEB9-4A4E-8D29-6C48F7A1D693}"/>
  <tableColumns count="6">
    <tableColumn id="1" xr3:uid="{7ED2E73D-D5F9-4507-A8A8-2E6C66891EA2}" name="Step_Name"/>
    <tableColumn id="2" xr3:uid="{E8143C03-6AC3-4451-8E38-6CE817C58608}" name="Medium_Mix"/>
    <tableColumn id="3" xr3:uid="{C6F76AC9-7EC7-4CBA-9A4E-96178191C3EC}" name="Device.Category_Mix"/>
    <tableColumn id="4" xr3:uid="{F8C34F5C-E9FE-41F6-8B28-552A901DC7D9}" name="Landing.Page_Mix"/>
    <tableColumn id="5" xr3:uid="{86FF156E-1E7B-4366-9F48-6CDADC26B151}" name="Gender_Mix"/>
    <tableColumn id="6" xr3:uid="{9C89F2EE-AE4F-4D90-ACB5-20E94C6E527B}" name="Combined_Dimension_Mix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e8" displayName="Table8" ref="A1:AI32" totalsRowShown="0">
  <autoFilter ref="A1:AI32" xr:uid="{00000000-0009-0000-0100-000008000000}"/>
  <tableColumns count="35">
    <tableColumn id="1" xr3:uid="{00000000-0010-0000-0500-000001000000}" name="Step"/>
    <tableColumn id="2" xr3:uid="{00000000-0010-0000-0500-000002000000}" name="StepNames"/>
    <tableColumn id="3" xr3:uid="{00000000-0010-0000-0500-000003000000}" name="DimensionNames"/>
    <tableColumn id="4" xr3:uid="{00000000-0010-0000-0500-000004000000}" name="Cluster"/>
    <tableColumn id="5" xr3:uid="{00000000-0010-0000-0500-000005000000}" name="Segment"/>
    <tableColumn id="6" xr3:uid="{00000000-0010-0000-0500-000006000000}" name="NumStart"/>
    <tableColumn id="7" xr3:uid="{00000000-0010-0000-0500-000007000000}" name="NumEnd"/>
    <tableColumn id="8" xr3:uid="{00000000-0010-0000-0500-000008000000}" name="DenomStart"/>
    <tableColumn id="9" xr3:uid="{00000000-0010-0000-0500-000009000000}" name="DenomEnd"/>
    <tableColumn id="10" xr3:uid="{00000000-0010-0000-0500-00000A000000}" name="NumStartTotal"/>
    <tableColumn id="11" xr3:uid="{00000000-0010-0000-0500-00000B000000}" name="NumEndTotal"/>
    <tableColumn id="12" xr3:uid="{00000000-0010-0000-0500-00000C000000}" name="DenomStartTotal"/>
    <tableColumn id="13" xr3:uid="{00000000-0010-0000-0500-00000D000000}" name="DenomEndTotal"/>
    <tableColumn id="14" xr3:uid="{00000000-0010-0000-0500-00000E000000}" name="MixStart"/>
    <tableColumn id="15" xr3:uid="{00000000-0010-0000-0500-00000F000000}" name="MixEnd"/>
    <tableColumn id="16" xr3:uid="{00000000-0010-0000-0500-000010000000}" name="RatioStart"/>
    <tableColumn id="17" xr3:uid="{00000000-0010-0000-0500-000011000000}" name="RatioEnd"/>
    <tableColumn id="18" xr3:uid="{00000000-0010-0000-0500-000012000000}" name="MixDelta"/>
    <tableColumn id="19" xr3:uid="{00000000-0010-0000-0500-000013000000}" name="RatioPercentCh"/>
    <tableColumn id="20" xr3:uid="{00000000-0010-0000-0500-000014000000}" name="RatioDriver"/>
    <tableColumn id="21" xr3:uid="{00000000-0010-0000-0500-000015000000}" name="MixDriver"/>
    <tableColumn id="22" xr3:uid="{00000000-0010-0000-0500-000016000000}" name="BothDriver"/>
    <tableColumn id="23" xr3:uid="{00000000-0010-0000-0500-000017000000}" name="TotalDriver"/>
    <tableColumn id="24" xr3:uid="{00000000-0010-0000-0500-000018000000}" name="RatioDriverTotal"/>
    <tableColumn id="25" xr3:uid="{00000000-0010-0000-0500-000019000000}" name="StepGap"/>
    <tableColumn id="26" xr3:uid="{00000000-0010-0000-0500-00001A000000}" name="StepCoefficient"/>
    <tableColumn id="27" xr3:uid="{00000000-0010-0000-0500-00001B000000}" name="RatioDriver_Scaled"/>
    <tableColumn id="28" xr3:uid="{00000000-0010-0000-0500-00001C000000}" name="MixDriver_Scaled"/>
    <tableColumn id="29" xr3:uid="{00000000-0010-0000-0500-00001D000000}" name="BothDriver_Scaled"/>
    <tableColumn id="30" xr3:uid="{00000000-0010-0000-0500-00001E000000}" name="TotalDriver_Scaled"/>
    <tableColumn id="31" xr3:uid="{00000000-0010-0000-0500-00001F000000}" name="DimensionNumber"/>
    <tableColumn id="32" xr3:uid="{00000000-0010-0000-0500-000020000000}" name="StepNumber"/>
    <tableColumn id="33" xr3:uid="{00000000-0010-0000-0500-000021000000}" name="SegmentTitle"/>
    <tableColumn id="34" xr3:uid="{00000000-0010-0000-0500-000022000000}" name="Max_RatioDriver_Scaled"/>
    <tableColumn id="35" xr3:uid="{00000000-0010-0000-0500-000023000000}" name="StepDimension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le9" displayName="Table9" ref="A1:AJ32" totalsRowShown="0">
  <autoFilter ref="A1:AJ32" xr:uid="{00000000-0009-0000-0100-000009000000}"/>
  <tableColumns count="36">
    <tableColumn id="1" xr3:uid="{00000000-0010-0000-0600-000001000000}" name="Step"/>
    <tableColumn id="2" xr3:uid="{00000000-0010-0000-0600-000002000000}" name="StepNames"/>
    <tableColumn id="3" xr3:uid="{00000000-0010-0000-0600-000003000000}" name="DimensionNames"/>
    <tableColumn id="4" xr3:uid="{00000000-0010-0000-0600-000004000000}" name="Cluster"/>
    <tableColumn id="5" xr3:uid="{00000000-0010-0000-0600-000005000000}" name="Segment"/>
    <tableColumn id="6" xr3:uid="{00000000-0010-0000-0600-000006000000}" name="NumStart"/>
    <tableColumn id="7" xr3:uid="{00000000-0010-0000-0600-000007000000}" name="NumEnd"/>
    <tableColumn id="8" xr3:uid="{00000000-0010-0000-0600-000008000000}" name="DenomStart"/>
    <tableColumn id="9" xr3:uid="{00000000-0010-0000-0600-000009000000}" name="DenomEnd"/>
    <tableColumn id="10" xr3:uid="{00000000-0010-0000-0600-00000A000000}" name="NumStartTotal"/>
    <tableColumn id="11" xr3:uid="{00000000-0010-0000-0600-00000B000000}" name="NumEndTotal"/>
    <tableColumn id="12" xr3:uid="{00000000-0010-0000-0600-00000C000000}" name="DenomStartTotal"/>
    <tableColumn id="13" xr3:uid="{00000000-0010-0000-0600-00000D000000}" name="DenomEndTotal"/>
    <tableColumn id="14" xr3:uid="{00000000-0010-0000-0600-00000E000000}" name="MixStart"/>
    <tableColumn id="15" xr3:uid="{00000000-0010-0000-0600-00000F000000}" name="MixEnd"/>
    <tableColumn id="16" xr3:uid="{00000000-0010-0000-0600-000010000000}" name="RatioStart"/>
    <tableColumn id="17" xr3:uid="{00000000-0010-0000-0600-000011000000}" name="RatioEnd"/>
    <tableColumn id="18" xr3:uid="{00000000-0010-0000-0600-000012000000}" name="MixDelta"/>
    <tableColumn id="19" xr3:uid="{00000000-0010-0000-0600-000013000000}" name="RatioPercentCh"/>
    <tableColumn id="20" xr3:uid="{00000000-0010-0000-0600-000014000000}" name="RatioDriver"/>
    <tableColumn id="21" xr3:uid="{00000000-0010-0000-0600-000015000000}" name="MixDriver"/>
    <tableColumn id="22" xr3:uid="{00000000-0010-0000-0600-000016000000}" name="BothDriver"/>
    <tableColumn id="23" xr3:uid="{00000000-0010-0000-0600-000017000000}" name="TotalDriver"/>
    <tableColumn id="24" xr3:uid="{00000000-0010-0000-0600-000018000000}" name="RatioDriverTotal"/>
    <tableColumn id="25" xr3:uid="{00000000-0010-0000-0600-000019000000}" name="StepGap"/>
    <tableColumn id="26" xr3:uid="{00000000-0010-0000-0600-00001A000000}" name="StepCoefficient"/>
    <tableColumn id="27" xr3:uid="{00000000-0010-0000-0600-00001B000000}" name="RatioDriver_Scaled"/>
    <tableColumn id="28" xr3:uid="{00000000-0010-0000-0600-00001C000000}" name="MixDriver_Scaled"/>
    <tableColumn id="29" xr3:uid="{00000000-0010-0000-0600-00001D000000}" name="BothDriver_Scaled"/>
    <tableColumn id="30" xr3:uid="{00000000-0010-0000-0600-00001E000000}" name="TotalDriver_Scaled"/>
    <tableColumn id="31" xr3:uid="{00000000-0010-0000-0600-00001F000000}" name="DimensionNumber"/>
    <tableColumn id="32" xr3:uid="{00000000-0010-0000-0600-000020000000}" name="StepNumber"/>
    <tableColumn id="33" xr3:uid="{00000000-0010-0000-0600-000021000000}" name="SegmentTitle"/>
    <tableColumn id="34" xr3:uid="{00000000-0010-0000-0600-000022000000}" name="Max_RatioDriver_Scaled"/>
    <tableColumn id="35" xr3:uid="{00000000-0010-0000-0600-000023000000}" name="Min_RatioDriver_Scaled"/>
    <tableColumn id="36" xr3:uid="{00000000-0010-0000-0600-000024000000}" name="StepDimension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waterfall" displayName="waterfall" ref="A1:R8" totalsRowShown="0">
  <autoFilter ref="A1:R8" xr:uid="{00000000-0009-0000-0100-000009000000}"/>
  <tableColumns count="18">
    <tableColumn id="1" xr3:uid="{00000000-0010-0000-0600-000001000000}" name="Step_Number"/>
    <tableColumn id="2" xr3:uid="{00000000-0010-0000-0600-000002000000}" name="Step_Name"/>
    <tableColumn id="3" xr3:uid="{00000000-0010-0000-0600-000003000000}" name="Num_Start"/>
    <tableColumn id="4" xr3:uid="{00000000-0010-0000-0600-000004000000}" name="Denom_Start"/>
    <tableColumn id="5" xr3:uid="{00000000-0010-0000-0600-000005000000}" name="Num_End"/>
    <tableColumn id="6" xr3:uid="{00000000-0010-0000-0600-000006000000}" name="Denom_End"/>
    <tableColumn id="7" xr3:uid="{00000000-0010-0000-0600-000007000000}" name="RatioStart"/>
    <tableColumn id="8" xr3:uid="{00000000-0010-0000-0600-000008000000}" name="RatioEnd"/>
    <tableColumn id="9" xr3:uid="{00000000-0010-0000-0600-000009000000}" name="RedistributedGap"/>
    <tableColumn id="10" xr3:uid="{00000000-0010-0000-0600-00000A000000}" name="RelativeChange"/>
    <tableColumn id="11" xr3:uid="{00000000-0010-0000-0600-00000B000000}" name="BpsDelta"/>
    <tableColumn id="12" xr3:uid="{00000000-0010-0000-0600-00000C000000}" name="values"/>
    <tableColumn id="13" xr3:uid="{00000000-0010-0000-0600-00000D000000}" name="totals"/>
    <tableColumn id="14" xr3:uid="{00000000-0010-0000-0600-00000E000000}" name="blank"/>
    <tableColumn id="15" xr3:uid="{00000000-0010-0000-0600-00000F000000}" name="up_pos"/>
    <tableColumn id="16" xr3:uid="{00000000-0010-0000-0600-000010000000}" name="up_neg"/>
    <tableColumn id="17" xr3:uid="{00000000-0010-0000-0600-000011000000}" name="down_pos"/>
    <tableColumn id="18" xr3:uid="{00000000-0010-0000-0600-000012000000}" name="down_neg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summary" displayName="summary" ref="A1:S8" totalsRowShown="0">
  <autoFilter ref="A1:S8" xr:uid="{00000000-0009-0000-0100-00000A000000}"/>
  <tableColumns count="19">
    <tableColumn id="1" xr3:uid="{00000000-0010-0000-0700-000001000000}" name="id"/>
    <tableColumn id="2" xr3:uid="{00000000-0010-0000-0700-000002000000}" name="Step_Name"/>
    <tableColumn id="3" xr3:uid="{00000000-0010-0000-0700-000003000000}" name="type"/>
    <tableColumn id="4" xr3:uid="{00000000-0010-0000-0700-000004000000}" name="start"/>
    <tableColumn id="5" xr3:uid="{00000000-0010-0000-0700-000005000000}" name="end"/>
    <tableColumn id="6" xr3:uid="{00000000-0010-0000-0700-000006000000}" name="RedistributedGap"/>
    <tableColumn id="7" xr3:uid="{00000000-0010-0000-0700-000007000000}" name="Step"/>
    <tableColumn id="8" xr3:uid="{00000000-0010-0000-0700-000008000000}" name="Cluster"/>
    <tableColumn id="9" xr3:uid="{00000000-0010-0000-0700-000009000000}" name="DimensionNames"/>
    <tableColumn id="10" xr3:uid="{00000000-0010-0000-0700-00000A000000}" name="MixDriver_Scaled"/>
    <tableColumn id="11" xr3:uid="{00000000-0010-0000-0700-00000B000000}" name="Segment_Biggest"/>
    <tableColumn id="12" xr3:uid="{00000000-0010-0000-0700-00000C000000}" name="RatioDriver_Scaled_Biggest"/>
    <tableColumn id="13" xr3:uid="{00000000-0010-0000-0700-00000D000000}" name="TotalDriver_Scaled"/>
    <tableColumn id="14" xr3:uid="{00000000-0010-0000-0700-00000E000000}" name="start_mix"/>
    <tableColumn id="15" xr3:uid="{00000000-0010-0000-0700-00000F000000}" name="end_mix"/>
    <tableColumn id="16" xr3:uid="{00000000-0010-0000-0700-000010000000}" name="start_SegPerf"/>
    <tableColumn id="17" xr3:uid="{00000000-0010-0000-0700-000011000000}" name="end_SegPerf"/>
    <tableColumn id="18" xr3:uid="{00000000-0010-0000-0700-000012000000}" name="start_remaining"/>
    <tableColumn id="19" xr3:uid="{00000000-0010-0000-0700-000013000000}" name="end_remaining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detail" displayName="detail" ref="A1:S5" totalsRowShown="0">
  <autoFilter ref="A1:S5" xr:uid="{00000000-0009-0000-0100-00000B000000}"/>
  <tableColumns count="19">
    <tableColumn id="1" xr3:uid="{00000000-0010-0000-0800-000001000000}" name="Segment"/>
    <tableColumn id="2" xr3:uid="{00000000-0010-0000-0800-000002000000}" name="NumStart"/>
    <tableColumn id="3" xr3:uid="{00000000-0010-0000-0800-000003000000}" name="DenomStart"/>
    <tableColumn id="4" xr3:uid="{00000000-0010-0000-0800-000004000000}" name="NumEnd"/>
    <tableColumn id="5" xr3:uid="{00000000-0010-0000-0800-000005000000}" name="DenomEnd"/>
    <tableColumn id="6" xr3:uid="{00000000-0010-0000-0800-000006000000}" name="MixStart"/>
    <tableColumn id="7" xr3:uid="{00000000-0010-0000-0800-000007000000}" name="MixEnd"/>
    <tableColumn id="8" xr3:uid="{00000000-0010-0000-0800-000008000000}" name="MixDelta"/>
    <tableColumn id="9" xr3:uid="{00000000-0010-0000-0800-000009000000}" name="RatioStart"/>
    <tableColumn id="10" xr3:uid="{00000000-0010-0000-0800-00000A000000}" name="RatioEnd"/>
    <tableColumn id="11" xr3:uid="{00000000-0010-0000-0800-00000B000000}" name="RatioPercentCh"/>
    <tableColumn id="12" xr3:uid="{00000000-0010-0000-0800-00000C000000}" name="RatioDriver"/>
    <tableColumn id="13" xr3:uid="{00000000-0010-0000-0800-00000D000000}" name="MixDriver"/>
    <tableColumn id="14" xr3:uid="{00000000-0010-0000-0800-00000E000000}" name="BothDriver"/>
    <tableColumn id="15" xr3:uid="{00000000-0010-0000-0800-00000F000000}" name="TotalDriver"/>
    <tableColumn id="16" xr3:uid="{00000000-0010-0000-0800-000010000000}" name="RatioDriver_Scaled"/>
    <tableColumn id="17" xr3:uid="{00000000-0010-0000-0800-000011000000}" name="MixDriver_Scaled"/>
    <tableColumn id="18" xr3:uid="{00000000-0010-0000-0800-000012000000}" name="BothDriver_Scaled"/>
    <tableColumn id="19" xr3:uid="{00000000-0010-0000-0800-000013000000}" name="TotalDriver_Scaled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mix" displayName="mix" ref="A1:F8" totalsRowShown="0">
  <autoFilter ref="A1:F8" xr:uid="{00000000-0009-0000-0100-00000C000000}"/>
  <tableColumns count="6">
    <tableColumn id="1" xr3:uid="{00000000-0010-0000-0900-000001000000}" name="Step_Name"/>
    <tableColumn id="2" xr3:uid="{00000000-0010-0000-0900-000002000000}" name="Medium_Mix"/>
    <tableColumn id="3" xr3:uid="{00000000-0010-0000-0900-000003000000}" name="Device.Category_Mix"/>
    <tableColumn id="4" xr3:uid="{00000000-0010-0000-0900-000004000000}" name="Landing.Page_Mix"/>
    <tableColumn id="5" xr3:uid="{00000000-0010-0000-0900-000005000000}" name="Gender_Mix"/>
    <tableColumn id="6" xr3:uid="{00000000-0010-0000-0900-000006000000}" name="Combined_Dimension_Mix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max" displayName="max" ref="A1:AI32" totalsRowShown="0">
  <autoFilter ref="A1:AI32" xr:uid="{00000000-0009-0000-0100-00000D000000}"/>
  <tableColumns count="35">
    <tableColumn id="1" xr3:uid="{00000000-0010-0000-0A00-000001000000}" name="Step"/>
    <tableColumn id="2" xr3:uid="{00000000-0010-0000-0A00-000002000000}" name="StepNames"/>
    <tableColumn id="3" xr3:uid="{00000000-0010-0000-0A00-000003000000}" name="DimensionNames"/>
    <tableColumn id="4" xr3:uid="{00000000-0010-0000-0A00-000004000000}" name="Cluster"/>
    <tableColumn id="5" xr3:uid="{00000000-0010-0000-0A00-000005000000}" name="Segment"/>
    <tableColumn id="6" xr3:uid="{00000000-0010-0000-0A00-000006000000}" name="NumStart"/>
    <tableColumn id="7" xr3:uid="{00000000-0010-0000-0A00-000007000000}" name="NumEnd"/>
    <tableColumn id="8" xr3:uid="{00000000-0010-0000-0A00-000008000000}" name="DenomStart"/>
    <tableColumn id="9" xr3:uid="{00000000-0010-0000-0A00-000009000000}" name="DenomEnd"/>
    <tableColumn id="10" xr3:uid="{00000000-0010-0000-0A00-00000A000000}" name="NumStartTotal"/>
    <tableColumn id="11" xr3:uid="{00000000-0010-0000-0A00-00000B000000}" name="NumEndTotal"/>
    <tableColumn id="12" xr3:uid="{00000000-0010-0000-0A00-00000C000000}" name="DenomStartTotal"/>
    <tableColumn id="13" xr3:uid="{00000000-0010-0000-0A00-00000D000000}" name="DenomEndTotal"/>
    <tableColumn id="14" xr3:uid="{00000000-0010-0000-0A00-00000E000000}" name="MixStart"/>
    <tableColumn id="15" xr3:uid="{00000000-0010-0000-0A00-00000F000000}" name="MixEnd"/>
    <tableColumn id="16" xr3:uid="{00000000-0010-0000-0A00-000010000000}" name="RatioStart"/>
    <tableColumn id="17" xr3:uid="{00000000-0010-0000-0A00-000011000000}" name="RatioEnd"/>
    <tableColumn id="18" xr3:uid="{00000000-0010-0000-0A00-000012000000}" name="MixDelta"/>
    <tableColumn id="19" xr3:uid="{00000000-0010-0000-0A00-000013000000}" name="RatioPercentCh"/>
    <tableColumn id="20" xr3:uid="{00000000-0010-0000-0A00-000014000000}" name="RatioDriver"/>
    <tableColumn id="21" xr3:uid="{00000000-0010-0000-0A00-000015000000}" name="MixDriver"/>
    <tableColumn id="22" xr3:uid="{00000000-0010-0000-0A00-000016000000}" name="BothDriver"/>
    <tableColumn id="23" xr3:uid="{00000000-0010-0000-0A00-000017000000}" name="TotalDriver"/>
    <tableColumn id="24" xr3:uid="{00000000-0010-0000-0A00-000018000000}" name="RatioDriverTotal"/>
    <tableColumn id="25" xr3:uid="{00000000-0010-0000-0A00-000019000000}" name="StepGap"/>
    <tableColumn id="26" xr3:uid="{00000000-0010-0000-0A00-00001A000000}" name="StepCoefficient"/>
    <tableColumn id="27" xr3:uid="{00000000-0010-0000-0A00-00001B000000}" name="RatioDriver_Scaled"/>
    <tableColumn id="28" xr3:uid="{00000000-0010-0000-0A00-00001C000000}" name="MixDriver_Scaled"/>
    <tableColumn id="29" xr3:uid="{00000000-0010-0000-0A00-00001D000000}" name="BothDriver_Scaled"/>
    <tableColumn id="30" xr3:uid="{00000000-0010-0000-0A00-00001E000000}" name="TotalDriver_Scaled"/>
    <tableColumn id="31" xr3:uid="{00000000-0010-0000-0A00-00001F000000}" name="DimensionNumber"/>
    <tableColumn id="32" xr3:uid="{00000000-0010-0000-0A00-000020000000}" name="StepNumber"/>
    <tableColumn id="33" xr3:uid="{00000000-0010-0000-0A00-000021000000}" name="SegmentTitle"/>
    <tableColumn id="34" xr3:uid="{00000000-0010-0000-0A00-000022000000}" name="Max_RatioDriver_Scaled"/>
    <tableColumn id="35" xr3:uid="{00000000-0010-0000-0A00-000023000000}" name="StepDimension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min" displayName="min" ref="A1:AJ32" totalsRowShown="0">
  <autoFilter ref="A1:AJ32" xr:uid="{00000000-0009-0000-0100-00000E000000}"/>
  <tableColumns count="36">
    <tableColumn id="1" xr3:uid="{00000000-0010-0000-0B00-000001000000}" name="Step"/>
    <tableColumn id="2" xr3:uid="{00000000-0010-0000-0B00-000002000000}" name="StepNames"/>
    <tableColumn id="3" xr3:uid="{00000000-0010-0000-0B00-000003000000}" name="DimensionNames"/>
    <tableColumn id="4" xr3:uid="{00000000-0010-0000-0B00-000004000000}" name="Cluster"/>
    <tableColumn id="5" xr3:uid="{00000000-0010-0000-0B00-000005000000}" name="Segment"/>
    <tableColumn id="6" xr3:uid="{00000000-0010-0000-0B00-000006000000}" name="NumStart"/>
    <tableColumn id="7" xr3:uid="{00000000-0010-0000-0B00-000007000000}" name="NumEnd"/>
    <tableColumn id="8" xr3:uid="{00000000-0010-0000-0B00-000008000000}" name="DenomStart"/>
    <tableColumn id="9" xr3:uid="{00000000-0010-0000-0B00-000009000000}" name="DenomEnd"/>
    <tableColumn id="10" xr3:uid="{00000000-0010-0000-0B00-00000A000000}" name="NumStartTotal"/>
    <tableColumn id="11" xr3:uid="{00000000-0010-0000-0B00-00000B000000}" name="NumEndTotal"/>
    <tableColumn id="12" xr3:uid="{00000000-0010-0000-0B00-00000C000000}" name="DenomStartTotal"/>
    <tableColumn id="13" xr3:uid="{00000000-0010-0000-0B00-00000D000000}" name="DenomEndTotal"/>
    <tableColumn id="14" xr3:uid="{00000000-0010-0000-0B00-00000E000000}" name="MixStart"/>
    <tableColumn id="15" xr3:uid="{00000000-0010-0000-0B00-00000F000000}" name="MixEnd"/>
    <tableColumn id="16" xr3:uid="{00000000-0010-0000-0B00-000010000000}" name="RatioStart"/>
    <tableColumn id="17" xr3:uid="{00000000-0010-0000-0B00-000011000000}" name="RatioEnd"/>
    <tableColumn id="18" xr3:uid="{00000000-0010-0000-0B00-000012000000}" name="MixDelta"/>
    <tableColumn id="19" xr3:uid="{00000000-0010-0000-0B00-000013000000}" name="RatioPercentCh"/>
    <tableColumn id="20" xr3:uid="{00000000-0010-0000-0B00-000014000000}" name="RatioDriver"/>
    <tableColumn id="21" xr3:uid="{00000000-0010-0000-0B00-000015000000}" name="MixDriver"/>
    <tableColumn id="22" xr3:uid="{00000000-0010-0000-0B00-000016000000}" name="BothDriver"/>
    <tableColumn id="23" xr3:uid="{00000000-0010-0000-0B00-000017000000}" name="TotalDriver"/>
    <tableColumn id="24" xr3:uid="{00000000-0010-0000-0B00-000018000000}" name="RatioDriverTotal"/>
    <tableColumn id="25" xr3:uid="{00000000-0010-0000-0B00-000019000000}" name="StepGap"/>
    <tableColumn id="26" xr3:uid="{00000000-0010-0000-0B00-00001A000000}" name="StepCoefficient"/>
    <tableColumn id="27" xr3:uid="{00000000-0010-0000-0B00-00001B000000}" name="RatioDriver_Scaled"/>
    <tableColumn id="28" xr3:uid="{00000000-0010-0000-0B00-00001C000000}" name="MixDriver_Scaled"/>
    <tableColumn id="29" xr3:uid="{00000000-0010-0000-0B00-00001D000000}" name="BothDriver_Scaled"/>
    <tableColumn id="30" xr3:uid="{00000000-0010-0000-0B00-00001E000000}" name="TotalDriver_Scaled"/>
    <tableColumn id="31" xr3:uid="{00000000-0010-0000-0B00-00001F000000}" name="DimensionNumber"/>
    <tableColumn id="32" xr3:uid="{00000000-0010-0000-0B00-000020000000}" name="StepNumber"/>
    <tableColumn id="33" xr3:uid="{00000000-0010-0000-0B00-000021000000}" name="SegmentTitle"/>
    <tableColumn id="34" xr3:uid="{00000000-0010-0000-0B00-000022000000}" name="Max_RatioDriver_Scaled"/>
    <tableColumn id="35" xr3:uid="{00000000-0010-0000-0B00-000023000000}" name="Min_RatioDriver_Scaled"/>
    <tableColumn id="36" xr3:uid="{00000000-0010-0000-0B00-000024000000}" name="StepDimens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R63"/>
  <sheetViews>
    <sheetView showGridLines="0" tabSelected="1" topLeftCell="A23" workbookViewId="0">
      <selection activeCell="R38" sqref="R38"/>
    </sheetView>
  </sheetViews>
  <sheetFormatPr defaultRowHeight="15" x14ac:dyDescent="0.25"/>
  <sheetData>
    <row r="1" spans="1:18" x14ac:dyDescent="0.25">
      <c r="A1" s="1" t="s">
        <v>200</v>
      </c>
    </row>
    <row r="2" spans="1:18" x14ac:dyDescent="0.25">
      <c r="A2" s="1" t="s">
        <v>203</v>
      </c>
    </row>
    <row r="3" spans="1:18" x14ac:dyDescent="0.25">
      <c r="A3" s="1" t="s">
        <v>202</v>
      </c>
    </row>
    <row r="4" spans="1:18" x14ac:dyDescent="0.25">
      <c r="A4" s="1" t="s">
        <v>201</v>
      </c>
    </row>
    <row r="6" spans="1:18" x14ac:dyDescent="0.25">
      <c r="B6" s="3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"/>
    </row>
    <row r="7" spans="1:18" x14ac:dyDescent="0.25">
      <c r="B7" s="6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7"/>
    </row>
    <row r="8" spans="1:18" x14ac:dyDescent="0.25">
      <c r="B8" s="6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7"/>
    </row>
    <row r="9" spans="1:18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7"/>
    </row>
    <row r="10" spans="1:18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7"/>
    </row>
    <row r="11" spans="1:18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7"/>
    </row>
    <row r="12" spans="1:18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7"/>
    </row>
    <row r="13" spans="1:18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7"/>
    </row>
    <row r="14" spans="1:18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7"/>
    </row>
    <row r="15" spans="1:18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7"/>
    </row>
    <row r="16" spans="1:18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7"/>
    </row>
    <row r="17" spans="2:18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7"/>
    </row>
    <row r="18" spans="2:18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7"/>
    </row>
    <row r="19" spans="2:18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7"/>
    </row>
    <row r="20" spans="2:18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7"/>
    </row>
    <row r="21" spans="2:18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7"/>
    </row>
    <row r="22" spans="2:18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7"/>
    </row>
    <row r="23" spans="2:18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7"/>
    </row>
    <row r="24" spans="2:18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7"/>
    </row>
    <row r="25" spans="2:18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7"/>
    </row>
    <row r="26" spans="2:18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7"/>
    </row>
    <row r="27" spans="2:18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7"/>
    </row>
    <row r="28" spans="2:18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7"/>
    </row>
    <row r="29" spans="2:18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7"/>
    </row>
    <row r="30" spans="2:18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7"/>
    </row>
    <row r="31" spans="2:18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7"/>
    </row>
    <row r="32" spans="2:18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7"/>
    </row>
    <row r="33" spans="2:18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7"/>
    </row>
    <row r="34" spans="2:18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7"/>
    </row>
    <row r="35" spans="2:18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7"/>
    </row>
    <row r="36" spans="2:18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7"/>
    </row>
    <row r="37" spans="2:18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7"/>
    </row>
    <row r="38" spans="2:18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7"/>
    </row>
    <row r="39" spans="2:18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7"/>
    </row>
    <row r="40" spans="2:18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7"/>
    </row>
    <row r="41" spans="2:18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7"/>
    </row>
    <row r="42" spans="2:18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7"/>
    </row>
    <row r="43" spans="2:18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7"/>
    </row>
    <row r="44" spans="2:18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7"/>
    </row>
    <row r="45" spans="2:18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7"/>
    </row>
    <row r="46" spans="2:18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7"/>
    </row>
    <row r="47" spans="2:18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7"/>
    </row>
    <row r="48" spans="2:18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7"/>
    </row>
    <row r="49" spans="2:18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7"/>
    </row>
    <row r="50" spans="2:18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7"/>
    </row>
    <row r="51" spans="2:18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7"/>
    </row>
    <row r="52" spans="2:18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7"/>
    </row>
    <row r="53" spans="2:18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7"/>
    </row>
    <row r="54" spans="2:18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7"/>
    </row>
    <row r="55" spans="2:18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7"/>
    </row>
    <row r="56" spans="2:18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7"/>
    </row>
    <row r="57" spans="2:18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7"/>
    </row>
    <row r="58" spans="2:18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7"/>
    </row>
    <row r="59" spans="2:18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7"/>
    </row>
    <row r="60" spans="2:18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7"/>
    </row>
    <row r="61" spans="2:18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7"/>
    </row>
    <row r="62" spans="2:18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7"/>
    </row>
    <row r="63" spans="2:18" x14ac:dyDescent="0.25">
      <c r="B63" s="8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10"/>
    </row>
  </sheetData>
  <pageMargins left="0.25" right="0.25" top="0.75" bottom="0.75" header="0.3" footer="0.3"/>
  <pageSetup paperSize="9" scale="6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8"/>
  <sheetViews>
    <sheetView workbookViewId="0">
      <selection activeCell="A2" sqref="A2:R8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 t="s">
        <v>204</v>
      </c>
      <c r="B2" t="s">
        <v>18</v>
      </c>
      <c r="C2">
        <v>45548.86</v>
      </c>
      <c r="D2">
        <v>1</v>
      </c>
      <c r="G2">
        <v>45548.86</v>
      </c>
      <c r="I2">
        <v>45548.86</v>
      </c>
      <c r="L2">
        <v>45548.86</v>
      </c>
      <c r="M2">
        <v>45548.86</v>
      </c>
    </row>
    <row r="3" spans="1:18" x14ac:dyDescent="0.25">
      <c r="A3" t="s">
        <v>225</v>
      </c>
      <c r="B3" t="s">
        <v>19</v>
      </c>
      <c r="C3">
        <v>9180</v>
      </c>
      <c r="D3">
        <v>1</v>
      </c>
      <c r="E3">
        <v>8105</v>
      </c>
      <c r="F3">
        <v>1</v>
      </c>
      <c r="G3">
        <v>9180</v>
      </c>
      <c r="H3">
        <v>8105</v>
      </c>
      <c r="I3">
        <v>-5396.8081089770803</v>
      </c>
      <c r="J3">
        <v>-0.117102396514161</v>
      </c>
      <c r="K3">
        <v>-5396.8081089770803</v>
      </c>
      <c r="L3">
        <v>-5396.8081089770803</v>
      </c>
      <c r="N3">
        <v>40152.0518910229</v>
      </c>
      <c r="O3">
        <v>0</v>
      </c>
      <c r="P3">
        <v>0</v>
      </c>
      <c r="Q3">
        <v>5396.8081089770803</v>
      </c>
      <c r="R3">
        <v>0</v>
      </c>
    </row>
    <row r="4" spans="1:18" x14ac:dyDescent="0.25">
      <c r="A4" t="s">
        <v>227</v>
      </c>
      <c r="B4" t="s">
        <v>20</v>
      </c>
      <c r="C4">
        <v>9635</v>
      </c>
      <c r="D4">
        <v>9180</v>
      </c>
      <c r="E4">
        <v>8491</v>
      </c>
      <c r="F4">
        <v>8105</v>
      </c>
      <c r="G4">
        <v>1.0495642701525101</v>
      </c>
      <c r="H4">
        <v>1.04762492288711</v>
      </c>
      <c r="I4">
        <v>-85.156487136903493</v>
      </c>
      <c r="J4">
        <v>-1.84776418229093E-3</v>
      </c>
      <c r="K4">
        <v>-85.156487136903493</v>
      </c>
      <c r="L4">
        <v>-85.156487136903493</v>
      </c>
      <c r="N4">
        <v>40066.895403886003</v>
      </c>
      <c r="O4">
        <v>0</v>
      </c>
      <c r="P4">
        <v>0</v>
      </c>
      <c r="Q4">
        <v>85.156487136903493</v>
      </c>
      <c r="R4">
        <v>0</v>
      </c>
    </row>
    <row r="5" spans="1:18" x14ac:dyDescent="0.25">
      <c r="A5" t="s">
        <v>229</v>
      </c>
      <c r="B5" t="s">
        <v>21</v>
      </c>
      <c r="C5">
        <v>397</v>
      </c>
      <c r="D5">
        <v>9635</v>
      </c>
      <c r="E5">
        <v>256.5</v>
      </c>
      <c r="F5">
        <v>8491</v>
      </c>
      <c r="G5">
        <v>4.1203943954333203E-2</v>
      </c>
      <c r="H5">
        <v>3.0208456012248301E-2</v>
      </c>
      <c r="I5">
        <v>-12298.3518033788</v>
      </c>
      <c r="J5">
        <v>-0.26685523003019601</v>
      </c>
      <c r="K5">
        <v>-12298.3518033788</v>
      </c>
      <c r="L5">
        <v>-12298.3518033788</v>
      </c>
      <c r="N5">
        <v>27768.543600507201</v>
      </c>
      <c r="O5">
        <v>0</v>
      </c>
      <c r="P5">
        <v>0</v>
      </c>
      <c r="Q5">
        <v>12298.3518033788</v>
      </c>
      <c r="R5">
        <v>0</v>
      </c>
    </row>
    <row r="6" spans="1:18" x14ac:dyDescent="0.25">
      <c r="A6" t="s">
        <v>231</v>
      </c>
      <c r="B6" t="s">
        <v>22</v>
      </c>
      <c r="C6">
        <v>248</v>
      </c>
      <c r="D6">
        <v>397</v>
      </c>
      <c r="E6">
        <v>164.25</v>
      </c>
      <c r="F6">
        <v>256.5</v>
      </c>
      <c r="G6">
        <v>0.62468513853904295</v>
      </c>
      <c r="H6">
        <v>0.640350877192982</v>
      </c>
      <c r="I6">
        <v>1128.78981412292</v>
      </c>
      <c r="J6">
        <v>2.5077815506507201E-2</v>
      </c>
      <c r="K6">
        <v>1128.78981412292</v>
      </c>
      <c r="L6">
        <v>1128.78981412292</v>
      </c>
      <c r="N6">
        <v>27768.543600507201</v>
      </c>
      <c r="O6">
        <v>1128.78981412292</v>
      </c>
      <c r="P6">
        <v>0</v>
      </c>
      <c r="Q6">
        <v>0</v>
      </c>
      <c r="R6">
        <v>0</v>
      </c>
    </row>
    <row r="7" spans="1:18" x14ac:dyDescent="0.25">
      <c r="A7" t="s">
        <v>233</v>
      </c>
      <c r="B7" t="s">
        <v>23</v>
      </c>
      <c r="C7">
        <v>45548.86</v>
      </c>
      <c r="D7">
        <v>248</v>
      </c>
      <c r="E7">
        <v>32747.01</v>
      </c>
      <c r="F7">
        <v>164.25</v>
      </c>
      <c r="G7">
        <v>183.66475806451601</v>
      </c>
      <c r="H7">
        <v>199.37296803653001</v>
      </c>
      <c r="I7">
        <v>3849.6765853698098</v>
      </c>
      <c r="J7">
        <v>8.5526532893676704E-2</v>
      </c>
      <c r="K7">
        <v>3849.6765853698098</v>
      </c>
      <c r="L7">
        <v>3849.6765853698098</v>
      </c>
      <c r="N7">
        <v>28897.333414630099</v>
      </c>
      <c r="O7">
        <v>3849.6765853698098</v>
      </c>
      <c r="P7">
        <v>0</v>
      </c>
      <c r="Q7">
        <v>0</v>
      </c>
      <c r="R7">
        <v>0</v>
      </c>
    </row>
    <row r="8" spans="1:18" x14ac:dyDescent="0.25">
      <c r="A8" t="s">
        <v>235</v>
      </c>
      <c r="B8" t="s">
        <v>24</v>
      </c>
      <c r="C8">
        <v>45548.86</v>
      </c>
      <c r="D8">
        <v>1</v>
      </c>
      <c r="E8">
        <v>32747.01</v>
      </c>
      <c r="F8">
        <v>1</v>
      </c>
      <c r="G8">
        <v>45548.86</v>
      </c>
      <c r="H8">
        <v>32747.01</v>
      </c>
      <c r="I8">
        <v>-12952.8821951137</v>
      </c>
      <c r="J8">
        <v>-0.281057528113766</v>
      </c>
      <c r="K8">
        <v>-12952.8821951137</v>
      </c>
      <c r="L8">
        <v>32747.01</v>
      </c>
      <c r="M8">
        <v>32747.01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8"/>
  <sheetViews>
    <sheetView workbookViewId="0">
      <selection activeCell="A2" sqref="A2:S8"/>
    </sheetView>
  </sheetViews>
  <sheetFormatPr defaultRowHeight="15" x14ac:dyDescent="0.25"/>
  <sheetData>
    <row r="1" spans="1:19" x14ac:dyDescent="0.25">
      <c r="A1" t="s">
        <v>25</v>
      </c>
      <c r="B1" t="s">
        <v>1</v>
      </c>
      <c r="C1" t="s">
        <v>26</v>
      </c>
      <c r="D1" t="s">
        <v>27</v>
      </c>
      <c r="E1" t="s">
        <v>28</v>
      </c>
      <c r="F1" t="s">
        <v>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38</v>
      </c>
      <c r="Q1" t="s">
        <v>39</v>
      </c>
      <c r="R1" t="s">
        <v>40</v>
      </c>
      <c r="S1" t="s">
        <v>41</v>
      </c>
    </row>
    <row r="2" spans="1:19" x14ac:dyDescent="0.25">
      <c r="A2">
        <v>1</v>
      </c>
      <c r="B2" t="s">
        <v>18</v>
      </c>
      <c r="C2" t="s">
        <v>254</v>
      </c>
      <c r="D2">
        <v>0</v>
      </c>
      <c r="E2">
        <v>45548.86</v>
      </c>
      <c r="F2">
        <v>45548.86</v>
      </c>
      <c r="N2">
        <v>0</v>
      </c>
      <c r="S2">
        <v>45548.86</v>
      </c>
    </row>
    <row r="3" spans="1:19" x14ac:dyDescent="0.25">
      <c r="A3">
        <v>2</v>
      </c>
      <c r="B3" t="s">
        <v>19</v>
      </c>
      <c r="C3" t="s">
        <v>255</v>
      </c>
      <c r="D3">
        <v>45548.86</v>
      </c>
      <c r="E3">
        <v>40152.0518910229</v>
      </c>
      <c r="F3">
        <v>-5396.8081089770803</v>
      </c>
      <c r="G3" t="s">
        <v>42</v>
      </c>
      <c r="H3" t="s">
        <v>43</v>
      </c>
      <c r="I3" t="s">
        <v>44</v>
      </c>
      <c r="J3">
        <v>0</v>
      </c>
      <c r="K3" t="s">
        <v>45</v>
      </c>
      <c r="L3">
        <v>-4056.3915833055598</v>
      </c>
      <c r="M3">
        <v>-5396.8081089770803</v>
      </c>
      <c r="N3">
        <v>45548.86</v>
      </c>
      <c r="O3">
        <v>45548.86</v>
      </c>
      <c r="P3">
        <v>45548.86</v>
      </c>
      <c r="Q3">
        <v>41492.468416694399</v>
      </c>
      <c r="R3">
        <v>41492.468416694399</v>
      </c>
      <c r="S3">
        <v>40152.0518910229</v>
      </c>
    </row>
    <row r="4" spans="1:19" x14ac:dyDescent="0.25">
      <c r="A4">
        <v>3</v>
      </c>
      <c r="B4" t="s">
        <v>20</v>
      </c>
      <c r="C4" t="s">
        <v>255</v>
      </c>
      <c r="D4">
        <v>40152.0518910229</v>
      </c>
      <c r="E4">
        <v>40066.895403886003</v>
      </c>
      <c r="F4">
        <v>-85.156487136903493</v>
      </c>
      <c r="G4" t="s">
        <v>46</v>
      </c>
      <c r="H4" t="s">
        <v>47</v>
      </c>
      <c r="I4" t="s">
        <v>48</v>
      </c>
      <c r="J4">
        <v>21.6294926038195</v>
      </c>
      <c r="K4" t="s">
        <v>49</v>
      </c>
      <c r="L4">
        <v>-237.262762684298</v>
      </c>
      <c r="M4">
        <v>-85.156487136899003</v>
      </c>
      <c r="N4">
        <v>40152.0518910229</v>
      </c>
      <c r="O4">
        <v>40173.681383626703</v>
      </c>
      <c r="P4">
        <v>40173.681383626703</v>
      </c>
      <c r="Q4">
        <v>39936.418620942401</v>
      </c>
      <c r="R4">
        <v>39936.418620942401</v>
      </c>
      <c r="S4">
        <v>40066.895403886003</v>
      </c>
    </row>
    <row r="5" spans="1:19" x14ac:dyDescent="0.25">
      <c r="A5">
        <v>4</v>
      </c>
      <c r="B5" t="s">
        <v>21</v>
      </c>
      <c r="C5" t="s">
        <v>255</v>
      </c>
      <c r="D5">
        <v>40066.895403886003</v>
      </c>
      <c r="E5">
        <v>27768.543600507201</v>
      </c>
      <c r="F5">
        <v>-12298.3518033788</v>
      </c>
      <c r="G5" t="s">
        <v>50</v>
      </c>
      <c r="H5" t="s">
        <v>43</v>
      </c>
      <c r="I5" t="s">
        <v>44</v>
      </c>
      <c r="J5">
        <v>-3445.2238517819101</v>
      </c>
      <c r="K5" t="s">
        <v>51</v>
      </c>
      <c r="L5">
        <v>-5366.6474328213299</v>
      </c>
      <c r="M5">
        <v>-12298.3518033788</v>
      </c>
      <c r="N5">
        <v>40066.895403886003</v>
      </c>
      <c r="O5">
        <v>36621.671552104097</v>
      </c>
      <c r="P5">
        <v>36621.671552104097</v>
      </c>
      <c r="Q5">
        <v>31255.0241192828</v>
      </c>
      <c r="R5">
        <v>31255.0241192828</v>
      </c>
      <c r="S5">
        <v>27768.543600507201</v>
      </c>
    </row>
    <row r="6" spans="1:19" x14ac:dyDescent="0.25">
      <c r="A6">
        <v>5</v>
      </c>
      <c r="B6" t="s">
        <v>22</v>
      </c>
      <c r="C6" t="s">
        <v>266</v>
      </c>
      <c r="D6">
        <v>27768.543600507201</v>
      </c>
      <c r="E6">
        <v>28897.333414630099</v>
      </c>
      <c r="F6">
        <v>1128.78981412292</v>
      </c>
      <c r="G6" t="s">
        <v>52</v>
      </c>
      <c r="H6" t="s">
        <v>47</v>
      </c>
      <c r="I6" t="s">
        <v>48</v>
      </c>
      <c r="J6">
        <v>-21.379550312295098</v>
      </c>
      <c r="K6" t="s">
        <v>53</v>
      </c>
      <c r="L6">
        <v>1840.90766784424</v>
      </c>
      <c r="M6">
        <v>1128.78981412293</v>
      </c>
      <c r="N6">
        <v>27768.543600507201</v>
      </c>
      <c r="O6">
        <v>27747.1640501949</v>
      </c>
      <c r="P6">
        <v>27747.1640501949</v>
      </c>
      <c r="Q6">
        <v>29588.071718039198</v>
      </c>
      <c r="R6">
        <v>29588.071718039198</v>
      </c>
      <c r="S6">
        <v>28897.333414630099</v>
      </c>
    </row>
    <row r="7" spans="1:19" x14ac:dyDescent="0.25">
      <c r="A7">
        <v>6</v>
      </c>
      <c r="B7" t="s">
        <v>23</v>
      </c>
      <c r="C7" t="s">
        <v>266</v>
      </c>
      <c r="D7">
        <v>28897.333414630099</v>
      </c>
      <c r="E7">
        <v>32747.0099999999</v>
      </c>
      <c r="F7">
        <v>3849.6765853698098</v>
      </c>
      <c r="G7" t="s">
        <v>54</v>
      </c>
      <c r="H7" t="s">
        <v>55</v>
      </c>
      <c r="I7" t="s">
        <v>56</v>
      </c>
      <c r="J7">
        <v>-113.628497187813</v>
      </c>
      <c r="K7" t="s">
        <v>57</v>
      </c>
      <c r="L7">
        <v>4326.1116248917897</v>
      </c>
      <c r="M7">
        <v>3849.6765853698098</v>
      </c>
      <c r="N7">
        <v>28897.333414630099</v>
      </c>
      <c r="O7">
        <v>28783.704917442301</v>
      </c>
      <c r="P7">
        <v>28783.704917442301</v>
      </c>
      <c r="Q7">
        <v>33109.816542334098</v>
      </c>
      <c r="R7">
        <v>33109.816542334098</v>
      </c>
      <c r="S7">
        <v>32747.0099999999</v>
      </c>
    </row>
    <row r="8" spans="1:19" x14ac:dyDescent="0.25">
      <c r="A8">
        <v>7</v>
      </c>
      <c r="B8" t="s">
        <v>24</v>
      </c>
      <c r="C8" t="s">
        <v>254</v>
      </c>
      <c r="D8">
        <v>32747.0099999999</v>
      </c>
      <c r="E8">
        <v>0</v>
      </c>
      <c r="F8">
        <v>-12952.8821951137</v>
      </c>
      <c r="N8">
        <v>32747.0099999999</v>
      </c>
      <c r="S8">
        <v>0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5"/>
  <sheetViews>
    <sheetView workbookViewId="0">
      <selection activeCell="A2" sqref="A2:S5"/>
    </sheetView>
  </sheetViews>
  <sheetFormatPr defaultRowHeight="15" x14ac:dyDescent="0.25"/>
  <sheetData>
    <row r="1" spans="1:19" x14ac:dyDescent="0.25">
      <c r="A1" t="s">
        <v>58</v>
      </c>
      <c r="B1" t="s">
        <v>59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</v>
      </c>
      <c r="J1" t="s">
        <v>7</v>
      </c>
      <c r="K1" t="s">
        <v>66</v>
      </c>
      <c r="L1" t="s">
        <v>67</v>
      </c>
      <c r="M1" t="s">
        <v>68</v>
      </c>
      <c r="N1" t="s">
        <v>69</v>
      </c>
      <c r="O1" t="s">
        <v>70</v>
      </c>
      <c r="P1" t="s">
        <v>71</v>
      </c>
      <c r="Q1" t="s">
        <v>32</v>
      </c>
      <c r="R1" t="s">
        <v>72</v>
      </c>
      <c r="S1" t="s">
        <v>35</v>
      </c>
    </row>
    <row r="2" spans="1:19" x14ac:dyDescent="0.25">
      <c r="A2" t="s">
        <v>73</v>
      </c>
      <c r="B2">
        <v>100</v>
      </c>
      <c r="C2">
        <v>4191</v>
      </c>
      <c r="D2">
        <v>52.5</v>
      </c>
      <c r="E2">
        <v>4092</v>
      </c>
      <c r="F2">
        <v>0.43497664763881699</v>
      </c>
      <c r="G2">
        <v>0.48192203509598402</v>
      </c>
      <c r="H2">
        <v>4.6945387457167101E-2</v>
      </c>
      <c r="I2">
        <v>2.3860653781913599E-2</v>
      </c>
      <c r="J2">
        <v>1.2829912023460399E-2</v>
      </c>
      <c r="K2">
        <v>-0.46229838709677401</v>
      </c>
      <c r="L2">
        <v>-4.7981150710614904E-3</v>
      </c>
      <c r="M2">
        <v>-2.98000035204529E-4</v>
      </c>
      <c r="N2">
        <v>-5.1784244579053905E-4</v>
      </c>
      <c r="O2">
        <v>-5.6139575520565499E-3</v>
      </c>
      <c r="P2">
        <v>-5366.6474328213299</v>
      </c>
      <c r="Q2">
        <v>-333.31028960863398</v>
      </c>
      <c r="R2">
        <v>-579.20199727367105</v>
      </c>
      <c r="S2">
        <v>-6279.1597197036299</v>
      </c>
    </row>
    <row r="3" spans="1:19" x14ac:dyDescent="0.25">
      <c r="A3" t="s">
        <v>74</v>
      </c>
      <c r="B3">
        <v>268</v>
      </c>
      <c r="C3">
        <v>3605</v>
      </c>
      <c r="D3">
        <v>184.5</v>
      </c>
      <c r="E3">
        <v>2723</v>
      </c>
      <c r="F3">
        <v>0.37415672029060698</v>
      </c>
      <c r="G3">
        <v>0.32069249793899401</v>
      </c>
      <c r="H3">
        <v>-5.3464222351612897E-2</v>
      </c>
      <c r="I3">
        <v>7.4341192787794705E-2</v>
      </c>
      <c r="J3">
        <v>6.77561513037091E-2</v>
      </c>
      <c r="K3">
        <v>-8.85786363810767E-2</v>
      </c>
      <c r="L3">
        <v>-2.4638375246630599E-3</v>
      </c>
      <c r="M3">
        <v>-2.3595224519530199E-3</v>
      </c>
      <c r="N3">
        <v>3.52064122099747E-4</v>
      </c>
      <c r="O3">
        <v>-4.4712958545163302E-3</v>
      </c>
      <c r="P3">
        <v>-2755.7795365038301</v>
      </c>
      <c r="Q3">
        <v>-2639.1040902352902</v>
      </c>
      <c r="R3">
        <v>393.78047192959701</v>
      </c>
      <c r="S3">
        <v>-5001.1031548095198</v>
      </c>
    </row>
    <row r="4" spans="1:19" x14ac:dyDescent="0.25">
      <c r="A4" t="s">
        <v>75</v>
      </c>
      <c r="B4">
        <v>24</v>
      </c>
      <c r="C4">
        <v>982</v>
      </c>
      <c r="D4">
        <v>13.5</v>
      </c>
      <c r="E4">
        <v>745</v>
      </c>
      <c r="F4">
        <v>0.101920083030618</v>
      </c>
      <c r="G4">
        <v>8.7739959957602198E-2</v>
      </c>
      <c r="H4">
        <v>-1.41801230730154E-2</v>
      </c>
      <c r="I4">
        <v>2.4439918533604901E-2</v>
      </c>
      <c r="J4">
        <v>1.81208053691275E-2</v>
      </c>
      <c r="K4">
        <v>-0.25855704697986598</v>
      </c>
      <c r="L4">
        <v>-6.4404453840340202E-4</v>
      </c>
      <c r="M4">
        <v>8.1798571398464899E-5</v>
      </c>
      <c r="N4">
        <v>8.9605802384600799E-5</v>
      </c>
      <c r="O4">
        <v>-4.72640164620336E-4</v>
      </c>
      <c r="P4">
        <v>-720.35787334307599</v>
      </c>
      <c r="Q4">
        <v>91.490947320466702</v>
      </c>
      <c r="R4">
        <v>100.223263137961</v>
      </c>
      <c r="S4">
        <v>-528.64366288464805</v>
      </c>
    </row>
    <row r="5" spans="1:19" x14ac:dyDescent="0.25">
      <c r="A5" t="s">
        <v>76</v>
      </c>
      <c r="B5">
        <v>5</v>
      </c>
      <c r="C5">
        <v>857</v>
      </c>
      <c r="D5">
        <v>6</v>
      </c>
      <c r="E5">
        <v>931</v>
      </c>
      <c r="F5">
        <v>8.8946549039958495E-2</v>
      </c>
      <c r="G5">
        <v>0.10964550700742</v>
      </c>
      <c r="H5">
        <v>2.0698957967461101E-2</v>
      </c>
      <c r="I5">
        <v>5.8343057176195997E-3</v>
      </c>
      <c r="J5">
        <v>6.44468313641246E-3</v>
      </c>
      <c r="K5">
        <v>0.10461868958109601</v>
      </c>
      <c r="L5">
        <v>5.4290965013542102E-5</v>
      </c>
      <c r="M5">
        <v>-5.0451951244109903E-4</v>
      </c>
      <c r="N5">
        <v>1.2634176535880799E-5</v>
      </c>
      <c r="O5">
        <v>-4.3759437089167601E-4</v>
      </c>
      <c r="P5">
        <v>60.723943402812303</v>
      </c>
      <c r="Q5">
        <v>-564.30041925845205</v>
      </c>
      <c r="R5">
        <v>14.131209874692701</v>
      </c>
      <c r="S5">
        <v>-489.445265980947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8"/>
  <sheetViews>
    <sheetView workbookViewId="0">
      <selection activeCell="E5" sqref="E5"/>
    </sheetView>
  </sheetViews>
  <sheetFormatPr defaultRowHeight="15" x14ac:dyDescent="0.25"/>
  <sheetData>
    <row r="1" spans="1:6" x14ac:dyDescent="0.25">
      <c r="A1" t="s">
        <v>1</v>
      </c>
      <c r="B1" t="s">
        <v>77</v>
      </c>
      <c r="C1" t="s">
        <v>78</v>
      </c>
      <c r="D1" t="s">
        <v>79</v>
      </c>
      <c r="E1" t="s">
        <v>80</v>
      </c>
      <c r="F1" t="s">
        <v>81</v>
      </c>
    </row>
    <row r="2" spans="1:6" x14ac:dyDescent="0.25">
      <c r="A2" t="s">
        <v>18</v>
      </c>
    </row>
    <row r="3" spans="1:6" x14ac:dyDescent="0.25">
      <c r="A3" t="s">
        <v>19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25">
      <c r="A4" t="s">
        <v>20</v>
      </c>
      <c r="B4">
        <v>49.8650128772234</v>
      </c>
      <c r="C4">
        <v>38.342945302372598</v>
      </c>
      <c r="D4">
        <v>80.743092485370099</v>
      </c>
      <c r="E4">
        <v>21.629492603820601</v>
      </c>
      <c r="F4">
        <v>136.343500426681</v>
      </c>
    </row>
    <row r="5" spans="1:6" x14ac:dyDescent="0.25">
      <c r="A5" t="s">
        <v>21</v>
      </c>
      <c r="B5">
        <v>-3445.2238517819101</v>
      </c>
      <c r="C5">
        <v>-1513.9595025537999</v>
      </c>
      <c r="D5">
        <v>299.193337866033</v>
      </c>
      <c r="E5">
        <v>-92.188833818324198</v>
      </c>
      <c r="F5">
        <v>-3138.59873441745</v>
      </c>
    </row>
    <row r="6" spans="1:6" x14ac:dyDescent="0.25">
      <c r="A6" t="s">
        <v>22</v>
      </c>
      <c r="B6">
        <v>1211.4920106735999</v>
      </c>
      <c r="C6">
        <v>308.77990296758401</v>
      </c>
      <c r="D6">
        <v>-71.643279865805894</v>
      </c>
      <c r="E6">
        <v>-21.379550312294999</v>
      </c>
      <c r="F6">
        <v>-1153.5827382211701</v>
      </c>
    </row>
    <row r="7" spans="1:6" x14ac:dyDescent="0.25">
      <c r="A7" t="s">
        <v>23</v>
      </c>
      <c r="B7">
        <v>227.51968742210599</v>
      </c>
      <c r="C7">
        <v>241.60683909413399</v>
      </c>
      <c r="D7">
        <v>-113.628497187813</v>
      </c>
      <c r="E7">
        <v>-88.763087807724006</v>
      </c>
      <c r="F7">
        <v>-1882.36480081485</v>
      </c>
    </row>
    <row r="8" spans="1:6" x14ac:dyDescent="0.25">
      <c r="A8" t="s">
        <v>24</v>
      </c>
      <c r="B8">
        <v>0</v>
      </c>
      <c r="C8">
        <v>0</v>
      </c>
      <c r="D8">
        <v>0</v>
      </c>
      <c r="E8">
        <v>0</v>
      </c>
      <c r="F8">
        <v>0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I32"/>
  <sheetViews>
    <sheetView workbookViewId="0">
      <selection activeCell="T30" sqref="T30"/>
    </sheetView>
  </sheetViews>
  <sheetFormatPr defaultRowHeight="15" x14ac:dyDescent="0.25"/>
  <sheetData>
    <row r="1" spans="1:35" x14ac:dyDescent="0.25">
      <c r="A1" t="s">
        <v>29</v>
      </c>
      <c r="B1" t="s">
        <v>82</v>
      </c>
      <c r="C1" t="s">
        <v>31</v>
      </c>
      <c r="D1" t="s">
        <v>30</v>
      </c>
      <c r="E1" t="s">
        <v>58</v>
      </c>
      <c r="F1" t="s">
        <v>59</v>
      </c>
      <c r="G1" t="s">
        <v>61</v>
      </c>
      <c r="H1" t="s">
        <v>60</v>
      </c>
      <c r="I1" t="s">
        <v>62</v>
      </c>
      <c r="J1" t="s">
        <v>83</v>
      </c>
      <c r="K1" t="s">
        <v>84</v>
      </c>
      <c r="L1" t="s">
        <v>85</v>
      </c>
      <c r="M1" t="s">
        <v>86</v>
      </c>
      <c r="N1" t="s">
        <v>63</v>
      </c>
      <c r="O1" t="s">
        <v>64</v>
      </c>
      <c r="P1" t="s">
        <v>6</v>
      </c>
      <c r="Q1" t="s">
        <v>7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70</v>
      </c>
      <c r="X1" t="s">
        <v>87</v>
      </c>
      <c r="Y1" t="s">
        <v>88</v>
      </c>
      <c r="Z1" t="s">
        <v>89</v>
      </c>
      <c r="AA1" t="s">
        <v>71</v>
      </c>
      <c r="AB1" t="s">
        <v>32</v>
      </c>
      <c r="AC1" t="s">
        <v>72</v>
      </c>
      <c r="AD1" t="s">
        <v>35</v>
      </c>
      <c r="AE1" t="s">
        <v>90</v>
      </c>
      <c r="AF1" t="s">
        <v>91</v>
      </c>
      <c r="AG1" t="s">
        <v>92</v>
      </c>
      <c r="AH1" t="s">
        <v>93</v>
      </c>
      <c r="AI1" t="s">
        <v>94</v>
      </c>
    </row>
    <row r="2" spans="1:35" x14ac:dyDescent="0.25">
      <c r="A2" t="s">
        <v>95</v>
      </c>
      <c r="B2" t="s">
        <v>18</v>
      </c>
      <c r="C2" t="s">
        <v>96</v>
      </c>
    </row>
    <row r="3" spans="1:35" x14ac:dyDescent="0.25">
      <c r="A3" t="s">
        <v>42</v>
      </c>
      <c r="B3" t="s">
        <v>19</v>
      </c>
      <c r="C3" t="s">
        <v>44</v>
      </c>
      <c r="D3" t="s">
        <v>43</v>
      </c>
      <c r="E3" t="s">
        <v>76</v>
      </c>
      <c r="F3">
        <v>743</v>
      </c>
      <c r="G3">
        <v>807</v>
      </c>
      <c r="H3">
        <v>1</v>
      </c>
      <c r="I3">
        <v>1</v>
      </c>
      <c r="J3">
        <v>9180</v>
      </c>
      <c r="K3">
        <v>8105</v>
      </c>
      <c r="L3">
        <v>1</v>
      </c>
      <c r="M3">
        <v>1</v>
      </c>
      <c r="N3">
        <v>1</v>
      </c>
      <c r="O3">
        <v>1</v>
      </c>
      <c r="P3">
        <v>743</v>
      </c>
      <c r="Q3">
        <v>807</v>
      </c>
      <c r="R3">
        <v>0</v>
      </c>
      <c r="S3">
        <v>8.6137281292059095E-2</v>
      </c>
      <c r="T3">
        <v>64</v>
      </c>
      <c r="U3">
        <v>0</v>
      </c>
      <c r="V3">
        <v>0</v>
      </c>
      <c r="W3">
        <v>64</v>
      </c>
      <c r="X3">
        <v>-1075</v>
      </c>
      <c r="Y3">
        <v>-5396.8081089770803</v>
      </c>
      <c r="Z3">
        <v>5.0202866130019403</v>
      </c>
      <c r="AA3">
        <v>321.29834323212401</v>
      </c>
      <c r="AB3">
        <v>0</v>
      </c>
      <c r="AC3">
        <v>0</v>
      </c>
      <c r="AD3">
        <v>321.29834323212401</v>
      </c>
      <c r="AE3">
        <v>1</v>
      </c>
      <c r="AF3">
        <v>1</v>
      </c>
      <c r="AG3" t="s">
        <v>97</v>
      </c>
      <c r="AH3">
        <v>321.29834323212401</v>
      </c>
      <c r="AI3" t="s">
        <v>98</v>
      </c>
    </row>
    <row r="4" spans="1:35" x14ac:dyDescent="0.25">
      <c r="A4" t="s">
        <v>42</v>
      </c>
      <c r="B4" t="s">
        <v>19</v>
      </c>
      <c r="C4" t="s">
        <v>99</v>
      </c>
      <c r="D4" t="s">
        <v>100</v>
      </c>
      <c r="E4" t="s">
        <v>76</v>
      </c>
      <c r="F4">
        <v>2361</v>
      </c>
      <c r="G4">
        <v>2328</v>
      </c>
      <c r="H4">
        <v>1</v>
      </c>
      <c r="I4">
        <v>1</v>
      </c>
      <c r="J4">
        <v>9180</v>
      </c>
      <c r="K4">
        <v>8105</v>
      </c>
      <c r="L4">
        <v>1</v>
      </c>
      <c r="M4">
        <v>1</v>
      </c>
      <c r="N4">
        <v>1</v>
      </c>
      <c r="O4">
        <v>1</v>
      </c>
      <c r="P4">
        <v>2361</v>
      </c>
      <c r="Q4">
        <v>2328</v>
      </c>
      <c r="R4">
        <v>0</v>
      </c>
      <c r="S4">
        <v>-1.3977128335451099E-2</v>
      </c>
      <c r="T4">
        <v>-33</v>
      </c>
      <c r="U4">
        <v>0</v>
      </c>
      <c r="V4">
        <v>0</v>
      </c>
      <c r="W4">
        <v>-33</v>
      </c>
      <c r="X4">
        <v>-1075</v>
      </c>
      <c r="Y4">
        <v>-5396.8081089770803</v>
      </c>
      <c r="Z4">
        <v>5.0202866130019403</v>
      </c>
      <c r="AA4">
        <v>-165.66945822906399</v>
      </c>
      <c r="AB4">
        <v>0</v>
      </c>
      <c r="AC4">
        <v>0</v>
      </c>
      <c r="AD4">
        <v>-165.66945822906399</v>
      </c>
      <c r="AE4">
        <v>2</v>
      </c>
      <c r="AF4">
        <v>1</v>
      </c>
      <c r="AG4" t="s">
        <v>101</v>
      </c>
      <c r="AH4">
        <v>-165.66945822906399</v>
      </c>
      <c r="AI4" t="s">
        <v>102</v>
      </c>
    </row>
    <row r="5" spans="1:35" x14ac:dyDescent="0.25">
      <c r="A5" t="s">
        <v>42</v>
      </c>
      <c r="B5" t="s">
        <v>19</v>
      </c>
      <c r="C5" t="s">
        <v>56</v>
      </c>
      <c r="D5" t="s">
        <v>55</v>
      </c>
      <c r="E5" t="s">
        <v>103</v>
      </c>
      <c r="F5">
        <v>245</v>
      </c>
      <c r="G5">
        <v>125</v>
      </c>
      <c r="H5">
        <v>1</v>
      </c>
      <c r="I5">
        <v>1</v>
      </c>
      <c r="J5">
        <v>9180</v>
      </c>
      <c r="K5">
        <v>8105</v>
      </c>
      <c r="L5">
        <v>1</v>
      </c>
      <c r="M5">
        <v>1</v>
      </c>
      <c r="N5">
        <v>1</v>
      </c>
      <c r="O5">
        <v>1</v>
      </c>
      <c r="P5">
        <v>245</v>
      </c>
      <c r="Q5">
        <v>125</v>
      </c>
      <c r="R5">
        <v>0</v>
      </c>
      <c r="S5">
        <v>-0.48979591836734698</v>
      </c>
      <c r="T5">
        <v>-120</v>
      </c>
      <c r="U5">
        <v>0</v>
      </c>
      <c r="V5">
        <v>0</v>
      </c>
      <c r="W5">
        <v>-120</v>
      </c>
      <c r="X5">
        <v>-1075</v>
      </c>
      <c r="Y5">
        <v>-5396.8081089770803</v>
      </c>
      <c r="Z5">
        <v>5.0202866130019403</v>
      </c>
      <c r="AA5">
        <v>-602.43439356023202</v>
      </c>
      <c r="AB5">
        <v>0</v>
      </c>
      <c r="AC5">
        <v>0</v>
      </c>
      <c r="AD5">
        <v>-602.43439356023202</v>
      </c>
      <c r="AE5">
        <v>3</v>
      </c>
      <c r="AF5">
        <v>1</v>
      </c>
      <c r="AG5" t="s">
        <v>104</v>
      </c>
      <c r="AH5">
        <v>-602.43439356023202</v>
      </c>
      <c r="AI5" t="s">
        <v>105</v>
      </c>
    </row>
    <row r="6" spans="1:35" x14ac:dyDescent="0.25">
      <c r="A6" t="s">
        <v>42</v>
      </c>
      <c r="B6" t="s">
        <v>19</v>
      </c>
      <c r="C6" t="s">
        <v>48</v>
      </c>
      <c r="D6" t="s">
        <v>47</v>
      </c>
      <c r="E6" t="s">
        <v>106</v>
      </c>
      <c r="F6">
        <v>2459</v>
      </c>
      <c r="G6">
        <v>2402</v>
      </c>
      <c r="H6">
        <v>1</v>
      </c>
      <c r="I6">
        <v>1</v>
      </c>
      <c r="J6">
        <v>9180</v>
      </c>
      <c r="K6">
        <v>8105</v>
      </c>
      <c r="L6">
        <v>1</v>
      </c>
      <c r="M6">
        <v>1</v>
      </c>
      <c r="N6">
        <v>1</v>
      </c>
      <c r="O6">
        <v>1</v>
      </c>
      <c r="P6">
        <v>2459</v>
      </c>
      <c r="Q6">
        <v>2402</v>
      </c>
      <c r="R6">
        <v>0</v>
      </c>
      <c r="S6">
        <v>-2.31801545343636E-2</v>
      </c>
      <c r="T6">
        <v>-57</v>
      </c>
      <c r="U6">
        <v>0</v>
      </c>
      <c r="V6">
        <v>0</v>
      </c>
      <c r="W6">
        <v>-57</v>
      </c>
      <c r="X6">
        <v>-1075</v>
      </c>
      <c r="Y6">
        <v>-5396.8081089770803</v>
      </c>
      <c r="Z6">
        <v>5.0202866130019403</v>
      </c>
      <c r="AA6">
        <v>-286.15633694111</v>
      </c>
      <c r="AB6">
        <v>0</v>
      </c>
      <c r="AC6">
        <v>0</v>
      </c>
      <c r="AD6">
        <v>-286.15633694111</v>
      </c>
      <c r="AE6">
        <v>4</v>
      </c>
      <c r="AF6">
        <v>1</v>
      </c>
      <c r="AG6" t="s">
        <v>107</v>
      </c>
      <c r="AH6">
        <v>-286.15633694111</v>
      </c>
      <c r="AI6" t="s">
        <v>108</v>
      </c>
    </row>
    <row r="7" spans="1:35" x14ac:dyDescent="0.25">
      <c r="A7" t="s">
        <v>42</v>
      </c>
      <c r="B7" t="s">
        <v>19</v>
      </c>
      <c r="C7" t="s">
        <v>96</v>
      </c>
      <c r="D7" t="s">
        <v>109</v>
      </c>
      <c r="E7" t="s">
        <v>110</v>
      </c>
      <c r="F7">
        <v>538</v>
      </c>
      <c r="G7">
        <v>596</v>
      </c>
      <c r="H7">
        <v>1</v>
      </c>
      <c r="I7">
        <v>1</v>
      </c>
      <c r="J7">
        <v>9180</v>
      </c>
      <c r="K7">
        <v>8105</v>
      </c>
      <c r="L7">
        <v>1</v>
      </c>
      <c r="M7">
        <v>1</v>
      </c>
      <c r="N7">
        <v>1</v>
      </c>
      <c r="O7">
        <v>1</v>
      </c>
      <c r="P7">
        <v>538</v>
      </c>
      <c r="Q7">
        <v>596</v>
      </c>
      <c r="R7">
        <v>0</v>
      </c>
      <c r="S7">
        <v>0.107806691449814</v>
      </c>
      <c r="T7">
        <v>58</v>
      </c>
      <c r="U7">
        <v>0</v>
      </c>
      <c r="V7">
        <v>0</v>
      </c>
      <c r="W7">
        <v>58</v>
      </c>
      <c r="X7">
        <v>-1075</v>
      </c>
      <c r="Y7">
        <v>-5396.8081089770803</v>
      </c>
      <c r="Z7">
        <v>5.0202866130019403</v>
      </c>
      <c r="AA7">
        <v>291.17662355411198</v>
      </c>
      <c r="AB7">
        <v>0</v>
      </c>
      <c r="AC7">
        <v>0</v>
      </c>
      <c r="AD7">
        <v>291.17662355411198</v>
      </c>
      <c r="AE7">
        <v>5</v>
      </c>
      <c r="AF7">
        <v>1</v>
      </c>
      <c r="AG7" t="s">
        <v>111</v>
      </c>
      <c r="AH7">
        <v>291.17662355411198</v>
      </c>
      <c r="AI7" t="s">
        <v>112</v>
      </c>
    </row>
    <row r="8" spans="1:35" x14ac:dyDescent="0.25">
      <c r="A8" t="s">
        <v>46</v>
      </c>
      <c r="B8" t="s">
        <v>20</v>
      </c>
      <c r="C8" t="s">
        <v>44</v>
      </c>
      <c r="D8" t="s">
        <v>43</v>
      </c>
      <c r="E8" t="s">
        <v>75</v>
      </c>
      <c r="F8">
        <v>982</v>
      </c>
      <c r="G8">
        <v>745</v>
      </c>
      <c r="H8">
        <v>933</v>
      </c>
      <c r="I8">
        <v>697</v>
      </c>
      <c r="J8">
        <v>9635</v>
      </c>
      <c r="K8">
        <v>8491</v>
      </c>
      <c r="L8">
        <v>9180</v>
      </c>
      <c r="M8">
        <v>8105</v>
      </c>
      <c r="N8">
        <v>0.10163398692810501</v>
      </c>
      <c r="O8">
        <v>8.5996298581122801E-2</v>
      </c>
      <c r="P8">
        <v>1.0525187566988199</v>
      </c>
      <c r="Q8">
        <v>1.06886657101865</v>
      </c>
      <c r="R8">
        <v>-1.5637688346981801E-2</v>
      </c>
      <c r="S8">
        <v>1.5532088350714599E-2</v>
      </c>
      <c r="T8">
        <v>1.66149354688472E-3</v>
      </c>
      <c r="U8">
        <v>-7.6528247969511498E-5</v>
      </c>
      <c r="V8">
        <v>-2.5564202548783303E-4</v>
      </c>
      <c r="W8">
        <v>1.32932327342737E-3</v>
      </c>
      <c r="X8">
        <v>-3.4851858651426802E-3</v>
      </c>
      <c r="Y8">
        <v>-85.156487136903493</v>
      </c>
      <c r="Z8">
        <v>43909.870427147303</v>
      </c>
      <c r="AA8">
        <v>72.955966359249302</v>
      </c>
      <c r="AB8">
        <v>-3.36034545235785</v>
      </c>
      <c r="AC8">
        <v>-11.225208214904301</v>
      </c>
      <c r="AD8">
        <v>58.370412691987198</v>
      </c>
      <c r="AE8">
        <v>1</v>
      </c>
      <c r="AF8">
        <v>2</v>
      </c>
      <c r="AG8" t="s">
        <v>113</v>
      </c>
      <c r="AH8">
        <v>72.955966359249302</v>
      </c>
      <c r="AI8" t="s">
        <v>114</v>
      </c>
    </row>
    <row r="9" spans="1:35" x14ac:dyDescent="0.25">
      <c r="A9" t="s">
        <v>46</v>
      </c>
      <c r="B9" t="s">
        <v>20</v>
      </c>
      <c r="C9" t="s">
        <v>99</v>
      </c>
      <c r="D9" t="s">
        <v>100</v>
      </c>
      <c r="E9" t="s">
        <v>76</v>
      </c>
      <c r="F9">
        <v>2529</v>
      </c>
      <c r="G9">
        <v>2496</v>
      </c>
      <c r="H9">
        <v>2361</v>
      </c>
      <c r="I9">
        <v>2328</v>
      </c>
      <c r="J9">
        <v>9635</v>
      </c>
      <c r="K9">
        <v>8491</v>
      </c>
      <c r="L9">
        <v>9180</v>
      </c>
      <c r="M9">
        <v>8105</v>
      </c>
      <c r="N9">
        <v>0.25718954248365999</v>
      </c>
      <c r="O9">
        <v>0.28723010487353501</v>
      </c>
      <c r="P9">
        <v>1.07115628970775</v>
      </c>
      <c r="Q9">
        <v>1.07216494845361</v>
      </c>
      <c r="R9">
        <v>3.0040562389874698E-2</v>
      </c>
      <c r="S9">
        <v>9.4165413166047397E-4</v>
      </c>
      <c r="T9">
        <v>2.5941648136918599E-4</v>
      </c>
      <c r="U9">
        <v>7.0689549309459296E-4</v>
      </c>
      <c r="V9">
        <v>3.0300675985019501E-5</v>
      </c>
      <c r="W9">
        <v>9.9661265044879792E-4</v>
      </c>
      <c r="X9">
        <v>-2.9736167738616901E-3</v>
      </c>
      <c r="Y9">
        <v>-85.156487136903493</v>
      </c>
      <c r="Z9">
        <v>43909.870427147303</v>
      </c>
      <c r="AA9">
        <v>11.390944083587399</v>
      </c>
      <c r="AB9">
        <v>31.039689507317998</v>
      </c>
      <c r="AC9">
        <v>1.33049875635718</v>
      </c>
      <c r="AD9">
        <v>43.761132347262503</v>
      </c>
      <c r="AE9">
        <v>2</v>
      </c>
      <c r="AF9">
        <v>2</v>
      </c>
      <c r="AG9" t="s">
        <v>115</v>
      </c>
      <c r="AH9">
        <v>11.390944083587399</v>
      </c>
      <c r="AI9" t="s">
        <v>116</v>
      </c>
    </row>
    <row r="10" spans="1:35" x14ac:dyDescent="0.25">
      <c r="A10" t="s">
        <v>46</v>
      </c>
      <c r="B10" t="s">
        <v>20</v>
      </c>
      <c r="C10" t="s">
        <v>56</v>
      </c>
      <c r="D10" t="s">
        <v>55</v>
      </c>
      <c r="E10" t="s">
        <v>103</v>
      </c>
      <c r="F10">
        <v>264</v>
      </c>
      <c r="G10">
        <v>138</v>
      </c>
      <c r="H10">
        <v>245</v>
      </c>
      <c r="I10">
        <v>125</v>
      </c>
      <c r="J10">
        <v>9635</v>
      </c>
      <c r="K10">
        <v>8491</v>
      </c>
      <c r="L10">
        <v>9180</v>
      </c>
      <c r="M10">
        <v>8105</v>
      </c>
      <c r="N10">
        <v>2.6688453159041399E-2</v>
      </c>
      <c r="O10">
        <v>1.5422578655151099E-2</v>
      </c>
      <c r="P10">
        <v>1.07755102040816</v>
      </c>
      <c r="Q10">
        <v>1.1040000000000001</v>
      </c>
      <c r="R10">
        <v>-1.12658745038903E-2</v>
      </c>
      <c r="S10">
        <v>2.4545454545454599E-2</v>
      </c>
      <c r="T10">
        <v>7.0588235294117804E-4</v>
      </c>
      <c r="U10">
        <v>-3.3714365906340599E-4</v>
      </c>
      <c r="V10">
        <v>-2.9797088483758801E-4</v>
      </c>
      <c r="W10">
        <v>7.0767809040184302E-5</v>
      </c>
      <c r="X10">
        <v>-3.6393826070883102E-3</v>
      </c>
      <c r="Y10">
        <v>-85.156487136903493</v>
      </c>
      <c r="Z10">
        <v>43909.870427147303</v>
      </c>
      <c r="AA10">
        <v>30.995202654457</v>
      </c>
      <c r="AB10">
        <v>-14.8039343848085</v>
      </c>
      <c r="AC10">
        <v>-13.0838629442809</v>
      </c>
      <c r="AD10">
        <v>3.1074053253675999</v>
      </c>
      <c r="AE10">
        <v>3</v>
      </c>
      <c r="AF10">
        <v>2</v>
      </c>
      <c r="AG10" t="s">
        <v>117</v>
      </c>
      <c r="AH10">
        <v>30.995202654457</v>
      </c>
      <c r="AI10" t="s">
        <v>118</v>
      </c>
    </row>
    <row r="11" spans="1:35" x14ac:dyDescent="0.25">
      <c r="A11" t="s">
        <v>46</v>
      </c>
      <c r="B11" t="s">
        <v>20</v>
      </c>
      <c r="C11" t="s">
        <v>48</v>
      </c>
      <c r="D11" t="s">
        <v>47</v>
      </c>
      <c r="E11" t="s">
        <v>119</v>
      </c>
      <c r="F11">
        <v>7023</v>
      </c>
      <c r="G11">
        <v>5988</v>
      </c>
      <c r="H11">
        <v>6721</v>
      </c>
      <c r="I11">
        <v>5703</v>
      </c>
      <c r="J11">
        <v>9635</v>
      </c>
      <c r="K11">
        <v>8491</v>
      </c>
      <c r="L11">
        <v>9180</v>
      </c>
      <c r="M11">
        <v>8105</v>
      </c>
      <c r="N11">
        <v>0.732135076252723</v>
      </c>
      <c r="O11">
        <v>0.70363972856261603</v>
      </c>
      <c r="P11">
        <v>1.04493378961464</v>
      </c>
      <c r="Q11">
        <v>1.04997369805366</v>
      </c>
      <c r="R11">
        <v>-2.84953476901076E-2</v>
      </c>
      <c r="S11">
        <v>4.8231844822186299E-3</v>
      </c>
      <c r="T11">
        <v>3.6898937493052598E-3</v>
      </c>
      <c r="U11">
        <v>7.6684778279334506E-5</v>
      </c>
      <c r="V11">
        <v>-1.4361394329605E-4</v>
      </c>
      <c r="W11">
        <v>3.6229645842885401E-3</v>
      </c>
      <c r="X11">
        <v>-1.7135100953485499E-3</v>
      </c>
      <c r="Y11">
        <v>-85.156487136903493</v>
      </c>
      <c r="Z11">
        <v>43909.870427147303</v>
      </c>
      <c r="AA11">
        <v>162.02275642193499</v>
      </c>
      <c r="AB11">
        <v>3.3672186779800901</v>
      </c>
      <c r="AC11">
        <v>-6.3060696416612503</v>
      </c>
      <c r="AD11">
        <v>159.08390545825301</v>
      </c>
      <c r="AE11">
        <v>4</v>
      </c>
      <c r="AF11">
        <v>2</v>
      </c>
      <c r="AG11" t="s">
        <v>120</v>
      </c>
      <c r="AH11">
        <v>162.02275642193499</v>
      </c>
      <c r="AI11" t="s">
        <v>121</v>
      </c>
    </row>
    <row r="12" spans="1:35" x14ac:dyDescent="0.25">
      <c r="A12" t="s">
        <v>46</v>
      </c>
      <c r="B12" t="s">
        <v>20</v>
      </c>
      <c r="C12" t="s">
        <v>96</v>
      </c>
      <c r="D12" t="s">
        <v>109</v>
      </c>
      <c r="E12" t="s">
        <v>122</v>
      </c>
      <c r="F12">
        <v>1298</v>
      </c>
      <c r="G12">
        <v>1251</v>
      </c>
      <c r="H12">
        <v>1257</v>
      </c>
      <c r="I12">
        <v>1202</v>
      </c>
      <c r="J12">
        <v>9635</v>
      </c>
      <c r="K12">
        <v>8491</v>
      </c>
      <c r="L12">
        <v>9180</v>
      </c>
      <c r="M12">
        <v>8105</v>
      </c>
      <c r="N12">
        <v>0.136928104575163</v>
      </c>
      <c r="O12">
        <v>0.14830351634793301</v>
      </c>
      <c r="P12">
        <v>1.0326173428798699</v>
      </c>
      <c r="Q12">
        <v>1.0407653910149799</v>
      </c>
      <c r="R12">
        <v>1.1375411772769999E-2</v>
      </c>
      <c r="S12">
        <v>7.8906752741323399E-3</v>
      </c>
      <c r="T12">
        <v>1.11569678712677E-3</v>
      </c>
      <c r="U12">
        <v>-1.70717402295077E-4</v>
      </c>
      <c r="V12">
        <v>9.2687402681140103E-5</v>
      </c>
      <c r="W12">
        <v>1.0376667875128299E-3</v>
      </c>
      <c r="X12">
        <v>-1.9803311511706299E-2</v>
      </c>
      <c r="Y12">
        <v>-85.156487136903493</v>
      </c>
      <c r="Z12">
        <v>43909.870427147303</v>
      </c>
      <c r="AA12">
        <v>48.9901013587208</v>
      </c>
      <c r="AB12">
        <v>-7.4961790144359997</v>
      </c>
      <c r="AC12">
        <v>4.0698918419576904</v>
      </c>
      <c r="AD12">
        <v>45.563814186242503</v>
      </c>
      <c r="AE12">
        <v>5</v>
      </c>
      <c r="AF12">
        <v>2</v>
      </c>
      <c r="AG12" t="s">
        <v>123</v>
      </c>
      <c r="AH12">
        <v>48.9901013587208</v>
      </c>
      <c r="AI12" t="s">
        <v>124</v>
      </c>
    </row>
    <row r="13" spans="1:35" x14ac:dyDescent="0.25">
      <c r="A13" t="s">
        <v>50</v>
      </c>
      <c r="B13" t="s">
        <v>21</v>
      </c>
      <c r="C13" t="s">
        <v>44</v>
      </c>
      <c r="D13" t="s">
        <v>43</v>
      </c>
      <c r="E13" t="s">
        <v>76</v>
      </c>
      <c r="F13">
        <v>5</v>
      </c>
      <c r="G13">
        <v>6</v>
      </c>
      <c r="H13">
        <v>857</v>
      </c>
      <c r="I13">
        <v>931</v>
      </c>
      <c r="J13">
        <v>397</v>
      </c>
      <c r="K13">
        <v>256.5</v>
      </c>
      <c r="L13">
        <v>9635</v>
      </c>
      <c r="M13">
        <v>8491</v>
      </c>
      <c r="N13">
        <v>8.8946549039958495E-2</v>
      </c>
      <c r="O13">
        <v>0.10964550700742</v>
      </c>
      <c r="P13">
        <v>5.8343057176195997E-3</v>
      </c>
      <c r="Q13">
        <v>6.44468313641246E-3</v>
      </c>
      <c r="R13">
        <v>2.0698957967461101E-2</v>
      </c>
      <c r="S13">
        <v>0.10461868958109601</v>
      </c>
      <c r="T13">
        <v>5.4290965013542102E-5</v>
      </c>
      <c r="U13">
        <v>-5.0451951244109903E-4</v>
      </c>
      <c r="V13">
        <v>1.2634176535880799E-5</v>
      </c>
      <c r="W13">
        <v>-4.3759437089167601E-4</v>
      </c>
      <c r="X13">
        <v>-7.8517061691143995E-3</v>
      </c>
      <c r="Y13">
        <v>-12298.3518033788</v>
      </c>
      <c r="Z13">
        <v>1118490.7725929299</v>
      </c>
      <c r="AA13">
        <v>60.723943402812303</v>
      </c>
      <c r="AB13">
        <v>-564.30041925845205</v>
      </c>
      <c r="AC13">
        <v>14.131209874692701</v>
      </c>
      <c r="AD13">
        <v>-489.445265980947</v>
      </c>
      <c r="AE13">
        <v>1</v>
      </c>
      <c r="AF13">
        <v>3</v>
      </c>
      <c r="AG13" t="s">
        <v>125</v>
      </c>
      <c r="AH13">
        <v>60.723943402812303</v>
      </c>
      <c r="AI13" t="s">
        <v>126</v>
      </c>
    </row>
    <row r="14" spans="1:35" x14ac:dyDescent="0.25">
      <c r="A14" t="s">
        <v>50</v>
      </c>
      <c r="B14" t="s">
        <v>21</v>
      </c>
      <c r="C14" t="s">
        <v>99</v>
      </c>
      <c r="D14" t="s">
        <v>100</v>
      </c>
      <c r="E14" t="s">
        <v>76</v>
      </c>
      <c r="F14">
        <v>24</v>
      </c>
      <c r="G14">
        <v>12.75</v>
      </c>
      <c r="H14">
        <v>2529</v>
      </c>
      <c r="I14">
        <v>2496</v>
      </c>
      <c r="J14">
        <v>397</v>
      </c>
      <c r="K14">
        <v>256.5</v>
      </c>
      <c r="L14">
        <v>9635</v>
      </c>
      <c r="M14">
        <v>8491</v>
      </c>
      <c r="N14">
        <v>0.26248053969901403</v>
      </c>
      <c r="O14">
        <v>0.29395830879755003</v>
      </c>
      <c r="P14">
        <v>9.4899169632265707E-3</v>
      </c>
      <c r="Q14">
        <v>5.1081730769230796E-3</v>
      </c>
      <c r="R14">
        <v>3.14777690985363E-2</v>
      </c>
      <c r="S14">
        <v>-0.461726262019231</v>
      </c>
      <c r="T14">
        <v>-1.1501225000998001E-3</v>
      </c>
      <c r="U14">
        <v>-6.52173388244113E-4</v>
      </c>
      <c r="V14">
        <v>-1.3792752230198501E-4</v>
      </c>
      <c r="W14">
        <v>-1.9402234106458899E-3</v>
      </c>
      <c r="X14">
        <v>-9.8764309226608907E-3</v>
      </c>
      <c r="Y14">
        <v>-12298.3518033788</v>
      </c>
      <c r="Z14">
        <v>1118490.7725929299</v>
      </c>
      <c r="AA14">
        <v>-1286.4014037131301</v>
      </c>
      <c r="AB14">
        <v>-729.44991688170501</v>
      </c>
      <c r="AC14">
        <v>-154.27066098137499</v>
      </c>
      <c r="AD14">
        <v>-2170.1219815762101</v>
      </c>
      <c r="AE14">
        <v>2</v>
      </c>
      <c r="AF14">
        <v>3</v>
      </c>
      <c r="AG14" t="s">
        <v>127</v>
      </c>
      <c r="AH14">
        <v>-1286.4014037131301</v>
      </c>
      <c r="AI14" t="s">
        <v>128</v>
      </c>
    </row>
    <row r="15" spans="1:35" x14ac:dyDescent="0.25">
      <c r="A15" t="s">
        <v>50</v>
      </c>
      <c r="B15" t="s">
        <v>21</v>
      </c>
      <c r="C15" t="s">
        <v>56</v>
      </c>
      <c r="D15" t="s">
        <v>55</v>
      </c>
      <c r="E15" t="s">
        <v>103</v>
      </c>
      <c r="F15">
        <v>55</v>
      </c>
      <c r="G15">
        <v>25.5</v>
      </c>
      <c r="H15">
        <v>264</v>
      </c>
      <c r="I15">
        <v>138</v>
      </c>
      <c r="J15">
        <v>397</v>
      </c>
      <c r="K15">
        <v>256.5</v>
      </c>
      <c r="L15">
        <v>9635</v>
      </c>
      <c r="M15">
        <v>8491</v>
      </c>
      <c r="N15">
        <v>2.7400103788271901E-2</v>
      </c>
      <c r="O15">
        <v>1.6252502649864602E-2</v>
      </c>
      <c r="P15">
        <v>0.20833333333333301</v>
      </c>
      <c r="Q15">
        <v>0.184782608695652</v>
      </c>
      <c r="R15">
        <v>-1.11476011384074E-2</v>
      </c>
      <c r="S15">
        <v>-0.11304347826087</v>
      </c>
      <c r="T15">
        <v>-6.4529229936147701E-4</v>
      </c>
      <c r="U15">
        <v>-1.9856650852032001E-3</v>
      </c>
      <c r="V15">
        <v>2.6253408478133303E-4</v>
      </c>
      <c r="W15">
        <v>-2.3684232997833398E-3</v>
      </c>
      <c r="X15">
        <v>-1.06982478726254E-2</v>
      </c>
      <c r="Y15">
        <v>-12298.3518033788</v>
      </c>
      <c r="Z15">
        <v>1118490.7725929299</v>
      </c>
      <c r="AA15">
        <v>-721.75348246108501</v>
      </c>
      <c r="AB15">
        <v>-2220.9480752597301</v>
      </c>
      <c r="AC15">
        <v>293.64195131905001</v>
      </c>
      <c r="AD15">
        <v>-2649.05960640176</v>
      </c>
      <c r="AE15">
        <v>3</v>
      </c>
      <c r="AF15">
        <v>3</v>
      </c>
      <c r="AG15" t="s">
        <v>129</v>
      </c>
      <c r="AH15">
        <v>-721.75348246108501</v>
      </c>
      <c r="AI15" t="s">
        <v>130</v>
      </c>
    </row>
    <row r="16" spans="1:35" x14ac:dyDescent="0.25">
      <c r="A16" t="s">
        <v>50</v>
      </c>
      <c r="B16" t="s">
        <v>21</v>
      </c>
      <c r="C16" t="s">
        <v>48</v>
      </c>
      <c r="D16" t="s">
        <v>47</v>
      </c>
      <c r="E16" t="s">
        <v>106</v>
      </c>
      <c r="F16">
        <v>101</v>
      </c>
      <c r="G16">
        <v>62.25</v>
      </c>
      <c r="H16">
        <v>2612</v>
      </c>
      <c r="I16">
        <v>2503</v>
      </c>
      <c r="J16">
        <v>397</v>
      </c>
      <c r="K16">
        <v>256.5</v>
      </c>
      <c r="L16">
        <v>9635</v>
      </c>
      <c r="M16">
        <v>8491</v>
      </c>
      <c r="N16">
        <v>0.27109496626881202</v>
      </c>
      <c r="O16">
        <v>0.294782711105877</v>
      </c>
      <c r="P16">
        <v>3.8667687595712097E-2</v>
      </c>
      <c r="Q16">
        <v>2.4870155813024399E-2</v>
      </c>
      <c r="R16">
        <v>2.3687744837065199E-2</v>
      </c>
      <c r="S16">
        <v>-0.35682329719188499</v>
      </c>
      <c r="T16">
        <v>-3.7404414132205899E-3</v>
      </c>
      <c r="U16">
        <v>2.00380119266734E-4</v>
      </c>
      <c r="V16">
        <v>-3.2683241224960402E-4</v>
      </c>
      <c r="W16">
        <v>-3.86689370620346E-3</v>
      </c>
      <c r="X16">
        <v>-1.08161782527533E-2</v>
      </c>
      <c r="Y16">
        <v>-12298.3518033788</v>
      </c>
      <c r="Z16">
        <v>1118490.7725929299</v>
      </c>
      <c r="AA16">
        <v>-4183.6492061116696</v>
      </c>
      <c r="AB16">
        <v>224.123314410913</v>
      </c>
      <c r="AC16">
        <v>-365.55903728547003</v>
      </c>
      <c r="AD16">
        <v>-4325.0849289862299</v>
      </c>
      <c r="AE16">
        <v>4</v>
      </c>
      <c r="AF16">
        <v>3</v>
      </c>
      <c r="AG16" t="s">
        <v>131</v>
      </c>
      <c r="AH16">
        <v>-4183.6492061116696</v>
      </c>
      <c r="AI16" t="s">
        <v>132</v>
      </c>
    </row>
    <row r="17" spans="1:35" x14ac:dyDescent="0.25">
      <c r="A17" t="s">
        <v>50</v>
      </c>
      <c r="B17" t="s">
        <v>21</v>
      </c>
      <c r="C17" t="s">
        <v>96</v>
      </c>
      <c r="D17" t="s">
        <v>109</v>
      </c>
      <c r="E17" t="s">
        <v>133</v>
      </c>
      <c r="F17">
        <v>2</v>
      </c>
      <c r="G17">
        <v>6</v>
      </c>
      <c r="H17">
        <v>1477</v>
      </c>
      <c r="I17">
        <v>1107</v>
      </c>
      <c r="J17">
        <v>397</v>
      </c>
      <c r="K17">
        <v>256.5</v>
      </c>
      <c r="L17">
        <v>9635</v>
      </c>
      <c r="M17">
        <v>8491</v>
      </c>
      <c r="N17">
        <v>0.15329527763362699</v>
      </c>
      <c r="O17">
        <v>0.130373336473914</v>
      </c>
      <c r="P17">
        <v>1.3540961408259999E-3</v>
      </c>
      <c r="Q17">
        <v>5.4200542005420098E-3</v>
      </c>
      <c r="R17">
        <v>-2.29219411597139E-2</v>
      </c>
      <c r="S17">
        <v>3.00271002710027</v>
      </c>
      <c r="T17">
        <v>6.2329216961085E-4</v>
      </c>
      <c r="U17">
        <v>6.6139793917394996E-4</v>
      </c>
      <c r="V17">
        <v>-9.3199651402674599E-5</v>
      </c>
      <c r="W17">
        <v>1.1914904573821299E-3</v>
      </c>
      <c r="X17">
        <v>-9.4936791673337993E-3</v>
      </c>
      <c r="Y17">
        <v>-12298.3518033788</v>
      </c>
      <c r="Z17">
        <v>1118490.7725929299</v>
      </c>
      <c r="AA17">
        <v>697.14654033916202</v>
      </c>
      <c r="AB17">
        <v>739.76749197804099</v>
      </c>
      <c r="AC17">
        <v>-104.242950102769</v>
      </c>
      <c r="AD17">
        <v>1332.67108221443</v>
      </c>
      <c r="AE17">
        <v>5</v>
      </c>
      <c r="AF17">
        <v>3</v>
      </c>
      <c r="AG17" t="s">
        <v>134</v>
      </c>
      <c r="AH17">
        <v>697.14654033916202</v>
      </c>
      <c r="AI17" t="s">
        <v>135</v>
      </c>
    </row>
    <row r="18" spans="1:35" x14ac:dyDescent="0.25">
      <c r="A18" t="s">
        <v>52</v>
      </c>
      <c r="B18" t="s">
        <v>22</v>
      </c>
      <c r="C18" t="s">
        <v>44</v>
      </c>
      <c r="D18" t="s">
        <v>43</v>
      </c>
      <c r="E18" t="s">
        <v>74</v>
      </c>
      <c r="F18">
        <v>195</v>
      </c>
      <c r="G18">
        <v>135.75</v>
      </c>
      <c r="H18">
        <v>268</v>
      </c>
      <c r="I18">
        <v>184.5</v>
      </c>
      <c r="J18">
        <v>248</v>
      </c>
      <c r="K18">
        <v>164.25</v>
      </c>
      <c r="L18">
        <v>397</v>
      </c>
      <c r="M18">
        <v>256.5</v>
      </c>
      <c r="N18">
        <v>0.67506297229219103</v>
      </c>
      <c r="O18">
        <v>0.71929824561403499</v>
      </c>
      <c r="P18">
        <v>0.72761194029850795</v>
      </c>
      <c r="Q18">
        <v>0.73577235772357696</v>
      </c>
      <c r="R18">
        <v>4.4235273321843599E-2</v>
      </c>
      <c r="S18">
        <v>1.1215342922659801E-2</v>
      </c>
      <c r="T18">
        <v>5.5087956421125302E-3</v>
      </c>
      <c r="U18">
        <v>3.8600169768275498E-3</v>
      </c>
      <c r="V18">
        <v>3.6097829521829298E-4</v>
      </c>
      <c r="W18">
        <v>9.7297909141583708E-3</v>
      </c>
      <c r="X18">
        <v>-5.3164412536533404E-3</v>
      </c>
      <c r="Y18">
        <v>1128.78981412292</v>
      </c>
      <c r="Z18">
        <v>72054.681816044307</v>
      </c>
      <c r="AA18">
        <v>396.93451718202903</v>
      </c>
      <c r="AB18">
        <v>278.13229506983799</v>
      </c>
      <c r="AC18">
        <v>26.0101762044522</v>
      </c>
      <c r="AD18">
        <v>701.07698845632001</v>
      </c>
      <c r="AE18">
        <v>1</v>
      </c>
      <c r="AF18">
        <v>4</v>
      </c>
      <c r="AG18" t="s">
        <v>136</v>
      </c>
      <c r="AH18">
        <v>396.93451718202903</v>
      </c>
      <c r="AI18" t="s">
        <v>137</v>
      </c>
    </row>
    <row r="19" spans="1:35" x14ac:dyDescent="0.25">
      <c r="A19" t="s">
        <v>52</v>
      </c>
      <c r="B19" t="s">
        <v>22</v>
      </c>
      <c r="C19" t="s">
        <v>99</v>
      </c>
      <c r="D19" t="s">
        <v>100</v>
      </c>
      <c r="E19" t="s">
        <v>138</v>
      </c>
      <c r="F19">
        <v>242</v>
      </c>
      <c r="G19">
        <v>161.25</v>
      </c>
      <c r="H19">
        <v>373</v>
      </c>
      <c r="I19">
        <v>243.75</v>
      </c>
      <c r="J19">
        <v>248</v>
      </c>
      <c r="K19">
        <v>164.25</v>
      </c>
      <c r="L19">
        <v>397</v>
      </c>
      <c r="M19">
        <v>256.5</v>
      </c>
      <c r="N19">
        <v>0.93954659949622199</v>
      </c>
      <c r="O19">
        <v>0.95029239766081897</v>
      </c>
      <c r="P19">
        <v>0.64879356568364599</v>
      </c>
      <c r="Q19">
        <v>0.66153846153846196</v>
      </c>
      <c r="R19">
        <v>1.0745798164597101E-2</v>
      </c>
      <c r="S19">
        <v>1.9643992371265E-2</v>
      </c>
      <c r="T19">
        <v>1.19744235613253E-2</v>
      </c>
      <c r="U19">
        <v>9.0723426487238394E-5</v>
      </c>
      <c r="V19">
        <v>1.3695407848465701E-4</v>
      </c>
      <c r="W19">
        <v>1.22021010662972E-2</v>
      </c>
      <c r="X19">
        <v>1.1085402965681499E-2</v>
      </c>
      <c r="Y19">
        <v>1128.78981412292</v>
      </c>
      <c r="Z19">
        <v>72054.681816044307</v>
      </c>
      <c r="AA19">
        <v>862.81327964183902</v>
      </c>
      <c r="AB19">
        <v>6.5370476287992503</v>
      </c>
      <c r="AC19">
        <v>9.8681825486214798</v>
      </c>
      <c r="AD19">
        <v>879.21850981926002</v>
      </c>
      <c r="AE19">
        <v>2</v>
      </c>
      <c r="AF19">
        <v>4</v>
      </c>
      <c r="AG19" t="s">
        <v>139</v>
      </c>
      <c r="AH19">
        <v>862.81327964183902</v>
      </c>
      <c r="AI19" t="s">
        <v>140</v>
      </c>
    </row>
    <row r="20" spans="1:35" x14ac:dyDescent="0.25">
      <c r="A20" t="s">
        <v>52</v>
      </c>
      <c r="B20" t="s">
        <v>22</v>
      </c>
      <c r="C20" t="s">
        <v>56</v>
      </c>
      <c r="D20" t="s">
        <v>55</v>
      </c>
      <c r="E20" t="s">
        <v>141</v>
      </c>
      <c r="F20">
        <v>197</v>
      </c>
      <c r="G20">
        <v>138</v>
      </c>
      <c r="H20">
        <v>296</v>
      </c>
      <c r="I20">
        <v>202.5</v>
      </c>
      <c r="J20">
        <v>248</v>
      </c>
      <c r="K20">
        <v>164.25</v>
      </c>
      <c r="L20">
        <v>397</v>
      </c>
      <c r="M20">
        <v>256.5</v>
      </c>
      <c r="N20">
        <v>0.74559193954659997</v>
      </c>
      <c r="O20">
        <v>0.78947368421052599</v>
      </c>
      <c r="P20">
        <v>0.66554054054054101</v>
      </c>
      <c r="Q20">
        <v>0.68148148148148102</v>
      </c>
      <c r="R20">
        <v>4.3881744663926803E-2</v>
      </c>
      <c r="S20">
        <v>2.39518706523782E-2</v>
      </c>
      <c r="T20">
        <v>1.18854370743539E-2</v>
      </c>
      <c r="U20">
        <v>1.10536637518782E-3</v>
      </c>
      <c r="V20">
        <v>6.99516300073105E-4</v>
      </c>
      <c r="W20">
        <v>1.36903197496148E-2</v>
      </c>
      <c r="X20">
        <v>1.88572301665079E-2</v>
      </c>
      <c r="Y20">
        <v>1128.78981412292</v>
      </c>
      <c r="Z20">
        <v>72054.681816044307</v>
      </c>
      <c r="AA20">
        <v>856.40138663718801</v>
      </c>
      <c r="AB20">
        <v>79.646822454312698</v>
      </c>
      <c r="AC20">
        <v>50.403424426904202</v>
      </c>
      <c r="AD20">
        <v>986.45163351840495</v>
      </c>
      <c r="AE20">
        <v>3</v>
      </c>
      <c r="AF20">
        <v>4</v>
      </c>
      <c r="AG20" t="s">
        <v>142</v>
      </c>
      <c r="AH20">
        <v>856.40138663718801</v>
      </c>
      <c r="AI20" t="s">
        <v>143</v>
      </c>
    </row>
    <row r="21" spans="1:35" x14ac:dyDescent="0.25">
      <c r="A21" t="s">
        <v>52</v>
      </c>
      <c r="B21" t="s">
        <v>22</v>
      </c>
      <c r="C21" t="s">
        <v>48</v>
      </c>
      <c r="D21" t="s">
        <v>47</v>
      </c>
      <c r="E21" t="s">
        <v>119</v>
      </c>
      <c r="F21">
        <v>183</v>
      </c>
      <c r="G21">
        <v>126.75</v>
      </c>
      <c r="H21">
        <v>296</v>
      </c>
      <c r="I21">
        <v>194.25</v>
      </c>
      <c r="J21">
        <v>248</v>
      </c>
      <c r="K21">
        <v>164.25</v>
      </c>
      <c r="L21">
        <v>397</v>
      </c>
      <c r="M21">
        <v>256.5</v>
      </c>
      <c r="N21">
        <v>0.74559193954659997</v>
      </c>
      <c r="O21">
        <v>0.75730994152046804</v>
      </c>
      <c r="P21">
        <v>0.61824324324324298</v>
      </c>
      <c r="Q21">
        <v>0.65250965250965298</v>
      </c>
      <c r="R21">
        <v>1.1718001973868301E-2</v>
      </c>
      <c r="S21">
        <v>5.5425448868071901E-2</v>
      </c>
      <c r="T21">
        <v>2.5548758546239701E-2</v>
      </c>
      <c r="U21">
        <v>-2.5905729826060202E-4</v>
      </c>
      <c r="V21">
        <v>4.0153385142116402E-4</v>
      </c>
      <c r="W21">
        <v>2.56912350994003E-2</v>
      </c>
      <c r="X21">
        <v>1.50786665915191E-2</v>
      </c>
      <c r="Y21">
        <v>1128.78981412292</v>
      </c>
      <c r="Z21">
        <v>72054.681816044307</v>
      </c>
      <c r="AA21">
        <v>1840.90766784424</v>
      </c>
      <c r="AB21">
        <v>-18.666291198291798</v>
      </c>
      <c r="AC21">
        <v>28.932393902522701</v>
      </c>
      <c r="AD21">
        <v>1851.17377054847</v>
      </c>
      <c r="AE21">
        <v>4</v>
      </c>
      <c r="AF21">
        <v>4</v>
      </c>
      <c r="AG21" t="s">
        <v>53</v>
      </c>
      <c r="AH21">
        <v>1840.90766784424</v>
      </c>
      <c r="AI21" t="s">
        <v>144</v>
      </c>
    </row>
    <row r="22" spans="1:35" x14ac:dyDescent="0.25">
      <c r="A22" t="s">
        <v>52</v>
      </c>
      <c r="B22" t="s">
        <v>22</v>
      </c>
      <c r="C22" t="s">
        <v>96</v>
      </c>
      <c r="D22" t="s">
        <v>109</v>
      </c>
      <c r="E22" t="s">
        <v>145</v>
      </c>
      <c r="F22">
        <v>109</v>
      </c>
      <c r="G22">
        <v>80.25</v>
      </c>
      <c r="H22">
        <v>149</v>
      </c>
      <c r="I22">
        <v>106.5</v>
      </c>
      <c r="J22">
        <v>248</v>
      </c>
      <c r="K22">
        <v>164.25</v>
      </c>
      <c r="L22">
        <v>397</v>
      </c>
      <c r="M22">
        <v>256.5</v>
      </c>
      <c r="N22">
        <v>0.37531486146095699</v>
      </c>
      <c r="O22">
        <v>0.41520467836257302</v>
      </c>
      <c r="P22">
        <v>0.73154362416107399</v>
      </c>
      <c r="Q22">
        <v>0.75352112676056304</v>
      </c>
      <c r="R22">
        <v>3.9889816901615902E-2</v>
      </c>
      <c r="S22">
        <v>3.00426411681094E-2</v>
      </c>
      <c r="T22">
        <v>8.2484833433852291E-3</v>
      </c>
      <c r="U22">
        <v>3.6376619793125598E-3</v>
      </c>
      <c r="V22">
        <v>8.7667855464842396E-4</v>
      </c>
      <c r="W22">
        <v>1.27628238773462E-2</v>
      </c>
      <c r="X22">
        <v>-1.5825097584203401E-2</v>
      </c>
      <c r="Y22">
        <v>1128.78981412292</v>
      </c>
      <c r="Z22">
        <v>72054.681816044307</v>
      </c>
      <c r="AA22">
        <v>594.34184277256304</v>
      </c>
      <c r="AB22">
        <v>262.11057647368801</v>
      </c>
      <c r="AC22">
        <v>63.168794310141799</v>
      </c>
      <c r="AD22">
        <v>919.62121355639295</v>
      </c>
      <c r="AE22">
        <v>5</v>
      </c>
      <c r="AF22">
        <v>4</v>
      </c>
      <c r="AG22" t="s">
        <v>146</v>
      </c>
      <c r="AH22">
        <v>594.34184277256304</v>
      </c>
      <c r="AI22" t="s">
        <v>147</v>
      </c>
    </row>
    <row r="23" spans="1:35" x14ac:dyDescent="0.25">
      <c r="A23" t="s">
        <v>54</v>
      </c>
      <c r="B23" t="s">
        <v>23</v>
      </c>
      <c r="C23" t="s">
        <v>44</v>
      </c>
      <c r="D23" t="s">
        <v>43</v>
      </c>
      <c r="E23" t="s">
        <v>74</v>
      </c>
      <c r="F23">
        <v>38393.370000000003</v>
      </c>
      <c r="G23">
        <v>30301.31</v>
      </c>
      <c r="H23">
        <v>195</v>
      </c>
      <c r="I23">
        <v>135.75</v>
      </c>
      <c r="J23">
        <v>45548.86</v>
      </c>
      <c r="K23">
        <v>32747.01</v>
      </c>
      <c r="L23">
        <v>248</v>
      </c>
      <c r="M23">
        <v>164.25</v>
      </c>
      <c r="N23">
        <v>0.78629032258064502</v>
      </c>
      <c r="O23">
        <v>0.82648401826483997</v>
      </c>
      <c r="P23">
        <v>196.889076923077</v>
      </c>
      <c r="Q23">
        <v>223.214069981584</v>
      </c>
      <c r="R23">
        <v>4.0193695684195098E-2</v>
      </c>
      <c r="S23">
        <v>0.13370469032566901</v>
      </c>
      <c r="T23">
        <v>20.6990872839066</v>
      </c>
      <c r="U23">
        <v>-9.9836763526796504E-2</v>
      </c>
      <c r="V23">
        <v>1.0580987598821701</v>
      </c>
      <c r="W23">
        <v>21.657349280262</v>
      </c>
      <c r="X23">
        <v>9.9947772480643096</v>
      </c>
      <c r="Y23">
        <v>3849.6765853698098</v>
      </c>
      <c r="Z23">
        <v>245.07417409294601</v>
      </c>
      <c r="AA23">
        <v>5072.8117205812196</v>
      </c>
      <c r="AB23">
        <v>-24.467412365442499</v>
      </c>
      <c r="AC23">
        <v>259.312679686894</v>
      </c>
      <c r="AD23">
        <v>5307.6569879026702</v>
      </c>
      <c r="AE23">
        <v>1</v>
      </c>
      <c r="AF23">
        <v>5</v>
      </c>
      <c r="AG23" t="s">
        <v>148</v>
      </c>
      <c r="AH23">
        <v>5072.8117205812196</v>
      </c>
      <c r="AI23" t="s">
        <v>149</v>
      </c>
    </row>
    <row r="24" spans="1:35" x14ac:dyDescent="0.25">
      <c r="A24" t="s">
        <v>54</v>
      </c>
      <c r="B24" t="s">
        <v>23</v>
      </c>
      <c r="C24" t="s">
        <v>99</v>
      </c>
      <c r="D24" t="s">
        <v>100</v>
      </c>
      <c r="E24" t="s">
        <v>138</v>
      </c>
      <c r="F24">
        <v>45420.44</v>
      </c>
      <c r="G24">
        <v>32631.54</v>
      </c>
      <c r="H24">
        <v>242</v>
      </c>
      <c r="I24">
        <v>161.25</v>
      </c>
      <c r="J24">
        <v>45548.86</v>
      </c>
      <c r="K24">
        <v>32747.01</v>
      </c>
      <c r="L24">
        <v>248</v>
      </c>
      <c r="M24">
        <v>164.25</v>
      </c>
      <c r="N24">
        <v>0.97580645161290303</v>
      </c>
      <c r="O24">
        <v>0.98173515981735204</v>
      </c>
      <c r="P24">
        <v>187.68776859504101</v>
      </c>
      <c r="Q24">
        <v>202.36613953488401</v>
      </c>
      <c r="R24">
        <v>5.9287082044483502E-3</v>
      </c>
      <c r="S24">
        <v>7.8206326654736605E-2</v>
      </c>
      <c r="T24">
        <v>14.323249062265599</v>
      </c>
      <c r="U24">
        <v>-6.9278137799367506E-2</v>
      </c>
      <c r="V24">
        <v>8.7023778218979997E-2</v>
      </c>
      <c r="W24">
        <v>14.340994702685199</v>
      </c>
      <c r="X24">
        <v>14.736636159039801</v>
      </c>
      <c r="Y24">
        <v>3849.6765853698098</v>
      </c>
      <c r="Z24">
        <v>245.07417409294601</v>
      </c>
      <c r="AA24">
        <v>3510.2584342623099</v>
      </c>
      <c r="AB24">
        <v>-16.978282403877301</v>
      </c>
      <c r="AC24">
        <v>21.3272805734643</v>
      </c>
      <c r="AD24">
        <v>3514.6074324318902</v>
      </c>
      <c r="AE24">
        <v>2</v>
      </c>
      <c r="AF24">
        <v>5</v>
      </c>
      <c r="AG24" t="s">
        <v>150</v>
      </c>
      <c r="AH24">
        <v>3510.2584342623099</v>
      </c>
      <c r="AI24" t="s">
        <v>151</v>
      </c>
    </row>
    <row r="25" spans="1:35" x14ac:dyDescent="0.25">
      <c r="A25" t="s">
        <v>54</v>
      </c>
      <c r="B25" t="s">
        <v>23</v>
      </c>
      <c r="C25" t="s">
        <v>56</v>
      </c>
      <c r="D25" t="s">
        <v>55</v>
      </c>
      <c r="E25" t="s">
        <v>103</v>
      </c>
      <c r="F25">
        <v>8298.66</v>
      </c>
      <c r="G25">
        <v>6492.8</v>
      </c>
      <c r="H25">
        <v>41</v>
      </c>
      <c r="I25">
        <v>21</v>
      </c>
      <c r="J25">
        <v>45548.86</v>
      </c>
      <c r="K25">
        <v>32747.01</v>
      </c>
      <c r="L25">
        <v>248</v>
      </c>
      <c r="M25">
        <v>164.25</v>
      </c>
      <c r="N25">
        <v>0.165322580645161</v>
      </c>
      <c r="O25">
        <v>0.127853881278539</v>
      </c>
      <c r="P25">
        <v>202.406341463415</v>
      </c>
      <c r="Q25">
        <v>309.18095238095202</v>
      </c>
      <c r="R25">
        <v>-3.7468699366622497E-2</v>
      </c>
      <c r="S25">
        <v>0.52752601596149795</v>
      </c>
      <c r="T25">
        <v>17.652254224270401</v>
      </c>
      <c r="U25">
        <v>-0.113656556998654</v>
      </c>
      <c r="V25">
        <v>-4.0007057964573098</v>
      </c>
      <c r="W25">
        <v>13.5378918708144</v>
      </c>
      <c r="X25">
        <v>19.230840012021599</v>
      </c>
      <c r="Y25">
        <v>3849.6765853698098</v>
      </c>
      <c r="Z25">
        <v>245.074174092947</v>
      </c>
      <c r="AA25">
        <v>4326.1116248917897</v>
      </c>
      <c r="AB25">
        <v>-27.854286836693099</v>
      </c>
      <c r="AC25">
        <v>-980.46966885563995</v>
      </c>
      <c r="AD25">
        <v>3317.7876691994602</v>
      </c>
      <c r="AE25">
        <v>3</v>
      </c>
      <c r="AF25">
        <v>5</v>
      </c>
      <c r="AG25" t="s">
        <v>57</v>
      </c>
      <c r="AH25">
        <v>4326.1116248917897</v>
      </c>
      <c r="AI25" t="s">
        <v>152</v>
      </c>
    </row>
    <row r="26" spans="1:35" x14ac:dyDescent="0.25">
      <c r="A26" t="s">
        <v>54</v>
      </c>
      <c r="B26" t="s">
        <v>23</v>
      </c>
      <c r="C26" t="s">
        <v>48</v>
      </c>
      <c r="D26" t="s">
        <v>47</v>
      </c>
      <c r="E26" t="s">
        <v>119</v>
      </c>
      <c r="F26">
        <v>33096.480000000003</v>
      </c>
      <c r="G26">
        <v>26283.53</v>
      </c>
      <c r="H26">
        <v>183</v>
      </c>
      <c r="I26">
        <v>126.75</v>
      </c>
      <c r="J26">
        <v>45548.86</v>
      </c>
      <c r="K26">
        <v>32747.01</v>
      </c>
      <c r="L26">
        <v>248</v>
      </c>
      <c r="M26">
        <v>164.25</v>
      </c>
      <c r="N26">
        <v>0.73790322580645196</v>
      </c>
      <c r="O26">
        <v>0.77168949771689499</v>
      </c>
      <c r="P26">
        <v>180.85508196721301</v>
      </c>
      <c r="Q26">
        <v>207.365128205128</v>
      </c>
      <c r="R26">
        <v>3.3786271910443401E-2</v>
      </c>
      <c r="S26">
        <v>0.146581704807836</v>
      </c>
      <c r="T26">
        <v>19.561848635235702</v>
      </c>
      <c r="U26">
        <v>-0.62565033394453995</v>
      </c>
      <c r="V26">
        <v>0.895675630552625</v>
      </c>
      <c r="W26">
        <v>19.831873931843798</v>
      </c>
      <c r="X26">
        <v>14.5254991728701</v>
      </c>
      <c r="Y26">
        <v>3849.6765853698098</v>
      </c>
      <c r="Z26">
        <v>245.074174092947</v>
      </c>
      <c r="AA26">
        <v>4794.10389801164</v>
      </c>
      <c r="AB26">
        <v>-153.330738862435</v>
      </c>
      <c r="AC26">
        <v>219.50696541286399</v>
      </c>
      <c r="AD26">
        <v>4860.2801245620603</v>
      </c>
      <c r="AE26">
        <v>4</v>
      </c>
      <c r="AF26">
        <v>5</v>
      </c>
      <c r="AG26" t="s">
        <v>153</v>
      </c>
      <c r="AH26">
        <v>4794.10389801164</v>
      </c>
      <c r="AI26" t="s">
        <v>154</v>
      </c>
    </row>
    <row r="27" spans="1:35" x14ac:dyDescent="0.25">
      <c r="A27" t="s">
        <v>54</v>
      </c>
      <c r="B27" t="s">
        <v>23</v>
      </c>
      <c r="C27" t="s">
        <v>96</v>
      </c>
      <c r="D27" t="s">
        <v>109</v>
      </c>
      <c r="E27" t="s">
        <v>155</v>
      </c>
      <c r="F27">
        <v>7394.66</v>
      </c>
      <c r="G27">
        <v>6492.8</v>
      </c>
      <c r="H27">
        <v>36</v>
      </c>
      <c r="I27">
        <v>21</v>
      </c>
      <c r="J27">
        <v>45548.86</v>
      </c>
      <c r="K27">
        <v>32747.01</v>
      </c>
      <c r="L27">
        <v>248</v>
      </c>
      <c r="M27">
        <v>164.25</v>
      </c>
      <c r="N27">
        <v>0.14516129032258099</v>
      </c>
      <c r="O27">
        <v>0.127853881278539</v>
      </c>
      <c r="P27">
        <v>205.407222222222</v>
      </c>
      <c r="Q27">
        <v>309.18095238095202</v>
      </c>
      <c r="R27">
        <v>-1.7307409044041801E-2</v>
      </c>
      <c r="S27">
        <v>0.50520974401991203</v>
      </c>
      <c r="T27">
        <v>15.063928571428599</v>
      </c>
      <c r="U27">
        <v>-0.104437305467502</v>
      </c>
      <c r="V27">
        <v>-1.7960543958831601</v>
      </c>
      <c r="W27">
        <v>13.1634368700779</v>
      </c>
      <c r="X27">
        <v>3.60294296816304</v>
      </c>
      <c r="Y27">
        <v>3849.6765853698098</v>
      </c>
      <c r="Z27">
        <v>245.07417409294601</v>
      </c>
      <c r="AA27">
        <v>3691.7798532380002</v>
      </c>
      <c r="AB27">
        <v>-25.594886381940899</v>
      </c>
      <c r="AC27">
        <v>-440.16654769707202</v>
      </c>
      <c r="AD27">
        <v>3226.0184191589801</v>
      </c>
      <c r="AE27">
        <v>5</v>
      </c>
      <c r="AF27">
        <v>5</v>
      </c>
      <c r="AG27" t="s">
        <v>156</v>
      </c>
      <c r="AH27">
        <v>3691.7798532380002</v>
      </c>
      <c r="AI27" t="s">
        <v>157</v>
      </c>
    </row>
    <row r="28" spans="1:35" x14ac:dyDescent="0.25">
      <c r="A28" t="s">
        <v>158</v>
      </c>
      <c r="B28" t="s">
        <v>159</v>
      </c>
      <c r="C28" t="s">
        <v>44</v>
      </c>
      <c r="D28" t="s">
        <v>43</v>
      </c>
      <c r="E28" t="s">
        <v>76</v>
      </c>
      <c r="F28">
        <v>132.91</v>
      </c>
      <c r="G28">
        <v>387.68</v>
      </c>
      <c r="H28">
        <v>1</v>
      </c>
      <c r="I28">
        <v>1</v>
      </c>
      <c r="J28">
        <v>45548.86</v>
      </c>
      <c r="K28">
        <v>32747.01</v>
      </c>
      <c r="L28">
        <v>1</v>
      </c>
      <c r="M28">
        <v>1</v>
      </c>
      <c r="N28">
        <v>1</v>
      </c>
      <c r="O28">
        <v>1</v>
      </c>
      <c r="P28">
        <v>132.91</v>
      </c>
      <c r="Q28">
        <v>387.68</v>
      </c>
      <c r="R28">
        <v>0</v>
      </c>
      <c r="S28">
        <v>1.91686103378226</v>
      </c>
      <c r="T28">
        <v>254.77</v>
      </c>
      <c r="U28">
        <v>0</v>
      </c>
      <c r="V28">
        <v>0</v>
      </c>
      <c r="W28">
        <v>254.77</v>
      </c>
      <c r="X28">
        <v>-12801.85</v>
      </c>
      <c r="Y28">
        <v>-12952.8821951137</v>
      </c>
      <c r="Z28">
        <v>1.01179768510909</v>
      </c>
      <c r="AA28">
        <v>257.77569623524198</v>
      </c>
      <c r="AB28">
        <v>0</v>
      </c>
      <c r="AC28">
        <v>0</v>
      </c>
      <c r="AD28">
        <v>257.77569623524198</v>
      </c>
      <c r="AE28">
        <v>1</v>
      </c>
      <c r="AF28">
        <v>6</v>
      </c>
      <c r="AG28" t="s">
        <v>160</v>
      </c>
      <c r="AH28">
        <v>257.77569623524198</v>
      </c>
      <c r="AI28" t="s">
        <v>161</v>
      </c>
    </row>
    <row r="29" spans="1:35" x14ac:dyDescent="0.25">
      <c r="A29" t="s">
        <v>158</v>
      </c>
      <c r="B29" t="s">
        <v>159</v>
      </c>
      <c r="C29" t="s">
        <v>99</v>
      </c>
      <c r="D29" t="s">
        <v>100</v>
      </c>
      <c r="E29" t="s">
        <v>76</v>
      </c>
      <c r="F29">
        <v>128.41999999999999</v>
      </c>
      <c r="G29">
        <v>115.47</v>
      </c>
      <c r="H29">
        <v>1</v>
      </c>
      <c r="I29">
        <v>1</v>
      </c>
      <c r="J29">
        <v>45548.86</v>
      </c>
      <c r="K29">
        <v>32747.01</v>
      </c>
      <c r="L29">
        <v>1</v>
      </c>
      <c r="M29">
        <v>1</v>
      </c>
      <c r="N29">
        <v>1</v>
      </c>
      <c r="O29">
        <v>1</v>
      </c>
      <c r="P29">
        <v>128.41999999999999</v>
      </c>
      <c r="Q29">
        <v>115.47</v>
      </c>
      <c r="R29">
        <v>0</v>
      </c>
      <c r="S29">
        <v>-0.100840990499922</v>
      </c>
      <c r="T29">
        <v>-12.95</v>
      </c>
      <c r="U29">
        <v>0</v>
      </c>
      <c r="V29">
        <v>0</v>
      </c>
      <c r="W29">
        <v>-12.95</v>
      </c>
      <c r="X29">
        <v>-12801.85</v>
      </c>
      <c r="Y29">
        <v>-12952.8821951137</v>
      </c>
      <c r="Z29">
        <v>1.01179768510909</v>
      </c>
      <c r="AA29">
        <v>-13.1027800221626</v>
      </c>
      <c r="AB29">
        <v>0</v>
      </c>
      <c r="AC29">
        <v>0</v>
      </c>
      <c r="AD29">
        <v>-13.1027800221626</v>
      </c>
      <c r="AE29">
        <v>2</v>
      </c>
      <c r="AF29">
        <v>6</v>
      </c>
      <c r="AG29" t="s">
        <v>162</v>
      </c>
      <c r="AH29">
        <v>-13.1027800221626</v>
      </c>
      <c r="AI29" t="s">
        <v>163</v>
      </c>
    </row>
    <row r="30" spans="1:35" x14ac:dyDescent="0.25">
      <c r="A30" t="s">
        <v>158</v>
      </c>
      <c r="B30" t="s">
        <v>159</v>
      </c>
      <c r="C30" t="s">
        <v>56</v>
      </c>
      <c r="D30" t="s">
        <v>55</v>
      </c>
      <c r="E30" t="s">
        <v>76</v>
      </c>
      <c r="F30">
        <v>1446.09</v>
      </c>
      <c r="G30">
        <v>341.25</v>
      </c>
      <c r="H30">
        <v>1</v>
      </c>
      <c r="I30">
        <v>1</v>
      </c>
      <c r="J30">
        <v>45548.86</v>
      </c>
      <c r="K30">
        <v>32747.01</v>
      </c>
      <c r="L30">
        <v>1</v>
      </c>
      <c r="M30">
        <v>1</v>
      </c>
      <c r="N30">
        <v>1</v>
      </c>
      <c r="O30">
        <v>1</v>
      </c>
      <c r="P30">
        <v>1446.09</v>
      </c>
      <c r="Q30">
        <v>341.25</v>
      </c>
      <c r="R30">
        <v>0</v>
      </c>
      <c r="S30">
        <v>-0.76401883700184603</v>
      </c>
      <c r="T30">
        <v>-1104.8399999999999</v>
      </c>
      <c r="U30">
        <v>0</v>
      </c>
      <c r="V30">
        <v>0</v>
      </c>
      <c r="W30">
        <v>-1104.8399999999999</v>
      </c>
      <c r="X30">
        <v>-12801.85</v>
      </c>
      <c r="Y30">
        <v>-12952.8821951137</v>
      </c>
      <c r="Z30">
        <v>1.01179768510908</v>
      </c>
      <c r="AA30">
        <v>-1117.8745544159201</v>
      </c>
      <c r="AB30">
        <v>0</v>
      </c>
      <c r="AC30">
        <v>0</v>
      </c>
      <c r="AD30">
        <v>-1117.8745544159201</v>
      </c>
      <c r="AE30">
        <v>3</v>
      </c>
      <c r="AF30">
        <v>6</v>
      </c>
      <c r="AG30" t="s">
        <v>164</v>
      </c>
      <c r="AH30">
        <v>-1117.8745544159201</v>
      </c>
      <c r="AI30" t="s">
        <v>165</v>
      </c>
    </row>
    <row r="31" spans="1:35" x14ac:dyDescent="0.25">
      <c r="A31" t="s">
        <v>158</v>
      </c>
      <c r="B31" t="s">
        <v>159</v>
      </c>
      <c r="C31" t="s">
        <v>48</v>
      </c>
      <c r="D31" t="s">
        <v>47</v>
      </c>
      <c r="E31" t="s">
        <v>106</v>
      </c>
      <c r="F31">
        <v>12452.38</v>
      </c>
      <c r="G31">
        <v>6463.48</v>
      </c>
      <c r="H31">
        <v>1</v>
      </c>
      <c r="I31">
        <v>1</v>
      </c>
      <c r="J31">
        <v>45548.86</v>
      </c>
      <c r="K31">
        <v>32747.01</v>
      </c>
      <c r="L31">
        <v>1</v>
      </c>
      <c r="M31">
        <v>1</v>
      </c>
      <c r="N31">
        <v>1</v>
      </c>
      <c r="O31">
        <v>1</v>
      </c>
      <c r="P31">
        <v>12452.38</v>
      </c>
      <c r="Q31">
        <v>6463.48</v>
      </c>
      <c r="R31">
        <v>0</v>
      </c>
      <c r="S31">
        <v>-0.48094420504353402</v>
      </c>
      <c r="T31">
        <v>-5988.9</v>
      </c>
      <c r="U31">
        <v>0</v>
      </c>
      <c r="V31">
        <v>0</v>
      </c>
      <c r="W31">
        <v>-5988.9</v>
      </c>
      <c r="X31">
        <v>-12801.85</v>
      </c>
      <c r="Y31">
        <v>-12952.8821951137</v>
      </c>
      <c r="Z31">
        <v>1.01179768510908</v>
      </c>
      <c r="AA31">
        <v>-6059.5551563498002</v>
      </c>
      <c r="AB31">
        <v>0</v>
      </c>
      <c r="AC31">
        <v>0</v>
      </c>
      <c r="AD31">
        <v>-6059.5551563498002</v>
      </c>
      <c r="AE31">
        <v>4</v>
      </c>
      <c r="AF31">
        <v>6</v>
      </c>
      <c r="AG31" t="s">
        <v>166</v>
      </c>
      <c r="AH31">
        <v>-6059.5551563498002</v>
      </c>
      <c r="AI31" t="s">
        <v>167</v>
      </c>
    </row>
    <row r="32" spans="1:35" x14ac:dyDescent="0.25">
      <c r="A32" t="s">
        <v>158</v>
      </c>
      <c r="B32" t="s">
        <v>159</v>
      </c>
      <c r="C32" t="s">
        <v>96</v>
      </c>
      <c r="D32" t="s">
        <v>109</v>
      </c>
      <c r="E32" t="s">
        <v>168</v>
      </c>
      <c r="F32">
        <v>0</v>
      </c>
      <c r="G32">
        <v>514</v>
      </c>
      <c r="H32">
        <v>1</v>
      </c>
      <c r="I32">
        <v>1</v>
      </c>
      <c r="J32">
        <v>45548.86</v>
      </c>
      <c r="K32">
        <v>32747.01</v>
      </c>
      <c r="L32">
        <v>1</v>
      </c>
      <c r="M32">
        <v>1</v>
      </c>
      <c r="N32">
        <v>1</v>
      </c>
      <c r="O32">
        <v>1</v>
      </c>
      <c r="P32">
        <v>0</v>
      </c>
      <c r="Q32">
        <v>514</v>
      </c>
      <c r="R32">
        <v>0</v>
      </c>
      <c r="S32">
        <v>0</v>
      </c>
      <c r="T32">
        <v>514</v>
      </c>
      <c r="U32">
        <v>0</v>
      </c>
      <c r="V32">
        <v>0</v>
      </c>
      <c r="W32">
        <v>514</v>
      </c>
      <c r="X32">
        <v>-12801.85</v>
      </c>
      <c r="Y32">
        <v>-12952.8821951137</v>
      </c>
      <c r="Z32">
        <v>1.01179768510909</v>
      </c>
      <c r="AA32">
        <v>520.06401014607002</v>
      </c>
      <c r="AB32">
        <v>0</v>
      </c>
      <c r="AC32">
        <v>0</v>
      </c>
      <c r="AD32">
        <v>520.06401014607002</v>
      </c>
      <c r="AE32">
        <v>5</v>
      </c>
      <c r="AF32">
        <v>6</v>
      </c>
      <c r="AG32" t="s">
        <v>169</v>
      </c>
      <c r="AH32">
        <v>520.06401014607002</v>
      </c>
      <c r="AI32" t="s">
        <v>170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J32"/>
  <sheetViews>
    <sheetView topLeftCell="Q4" workbookViewId="0">
      <selection activeCell="T30" sqref="T30"/>
    </sheetView>
  </sheetViews>
  <sheetFormatPr defaultRowHeight="15" x14ac:dyDescent="0.25"/>
  <sheetData>
    <row r="1" spans="1:36" x14ac:dyDescent="0.25">
      <c r="A1" t="s">
        <v>29</v>
      </c>
      <c r="B1" t="s">
        <v>82</v>
      </c>
      <c r="C1" t="s">
        <v>31</v>
      </c>
      <c r="D1" t="s">
        <v>30</v>
      </c>
      <c r="E1" t="s">
        <v>58</v>
      </c>
      <c r="F1" t="s">
        <v>59</v>
      </c>
      <c r="G1" t="s">
        <v>61</v>
      </c>
      <c r="H1" t="s">
        <v>60</v>
      </c>
      <c r="I1" t="s">
        <v>62</v>
      </c>
      <c r="J1" t="s">
        <v>83</v>
      </c>
      <c r="K1" t="s">
        <v>84</v>
      </c>
      <c r="L1" t="s">
        <v>85</v>
      </c>
      <c r="M1" t="s">
        <v>86</v>
      </c>
      <c r="N1" t="s">
        <v>63</v>
      </c>
      <c r="O1" t="s">
        <v>64</v>
      </c>
      <c r="P1" t="s">
        <v>6</v>
      </c>
      <c r="Q1" t="s">
        <v>7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70</v>
      </c>
      <c r="X1" t="s">
        <v>87</v>
      </c>
      <c r="Y1" t="s">
        <v>88</v>
      </c>
      <c r="Z1" t="s">
        <v>89</v>
      </c>
      <c r="AA1" t="s">
        <v>71</v>
      </c>
      <c r="AB1" t="s">
        <v>32</v>
      </c>
      <c r="AC1" t="s">
        <v>72</v>
      </c>
      <c r="AD1" t="s">
        <v>35</v>
      </c>
      <c r="AE1" t="s">
        <v>90</v>
      </c>
      <c r="AF1" t="s">
        <v>91</v>
      </c>
      <c r="AG1" t="s">
        <v>92</v>
      </c>
      <c r="AH1" t="s">
        <v>93</v>
      </c>
      <c r="AI1" t="s">
        <v>171</v>
      </c>
      <c r="AJ1" t="s">
        <v>94</v>
      </c>
    </row>
    <row r="2" spans="1:36" x14ac:dyDescent="0.25">
      <c r="A2" t="s">
        <v>95</v>
      </c>
      <c r="B2" t="s">
        <v>18</v>
      </c>
      <c r="C2" t="s">
        <v>96</v>
      </c>
    </row>
    <row r="3" spans="1:36" x14ac:dyDescent="0.25">
      <c r="A3" t="s">
        <v>42</v>
      </c>
      <c r="B3" t="s">
        <v>19</v>
      </c>
      <c r="C3" t="s">
        <v>44</v>
      </c>
      <c r="D3" t="s">
        <v>43</v>
      </c>
      <c r="E3" t="s">
        <v>74</v>
      </c>
      <c r="F3">
        <v>3441</v>
      </c>
      <c r="G3">
        <v>2633</v>
      </c>
      <c r="H3">
        <v>1</v>
      </c>
      <c r="I3">
        <v>1</v>
      </c>
      <c r="J3">
        <v>9180</v>
      </c>
      <c r="K3">
        <v>8105</v>
      </c>
      <c r="L3">
        <v>1</v>
      </c>
      <c r="M3">
        <v>1</v>
      </c>
      <c r="N3">
        <v>1</v>
      </c>
      <c r="O3">
        <v>1</v>
      </c>
      <c r="P3">
        <v>3441</v>
      </c>
      <c r="Q3">
        <v>2633</v>
      </c>
      <c r="R3">
        <v>0</v>
      </c>
      <c r="S3">
        <v>-0.234815460621912</v>
      </c>
      <c r="T3">
        <v>-808</v>
      </c>
      <c r="U3">
        <v>0</v>
      </c>
      <c r="V3">
        <v>0</v>
      </c>
      <c r="W3">
        <v>-808</v>
      </c>
      <c r="X3">
        <v>-1075</v>
      </c>
      <c r="Y3">
        <v>-5396.8081089770803</v>
      </c>
      <c r="Z3">
        <v>5.0202866130019403</v>
      </c>
      <c r="AA3">
        <v>-4056.3915833055598</v>
      </c>
      <c r="AB3">
        <v>0</v>
      </c>
      <c r="AC3">
        <v>0</v>
      </c>
      <c r="AD3">
        <v>-4056.3915833055598</v>
      </c>
      <c r="AE3">
        <v>1</v>
      </c>
      <c r="AF3">
        <v>1</v>
      </c>
      <c r="AG3" t="s">
        <v>45</v>
      </c>
      <c r="AH3">
        <v>321.29834323212401</v>
      </c>
      <c r="AI3">
        <v>-4056.3915833055598</v>
      </c>
      <c r="AJ3" t="s">
        <v>98</v>
      </c>
    </row>
    <row r="4" spans="1:36" x14ac:dyDescent="0.25">
      <c r="A4" t="s">
        <v>42</v>
      </c>
      <c r="B4" t="s">
        <v>19</v>
      </c>
      <c r="C4" t="s">
        <v>99</v>
      </c>
      <c r="D4" t="s">
        <v>100</v>
      </c>
      <c r="E4" t="s">
        <v>138</v>
      </c>
      <c r="F4">
        <v>6819</v>
      </c>
      <c r="G4">
        <v>5777</v>
      </c>
      <c r="H4">
        <v>1</v>
      </c>
      <c r="I4">
        <v>1</v>
      </c>
      <c r="J4">
        <v>9180</v>
      </c>
      <c r="K4">
        <v>8105</v>
      </c>
      <c r="L4">
        <v>1</v>
      </c>
      <c r="M4">
        <v>1</v>
      </c>
      <c r="N4">
        <v>1</v>
      </c>
      <c r="O4">
        <v>1</v>
      </c>
      <c r="P4">
        <v>6819</v>
      </c>
      <c r="Q4">
        <v>5777</v>
      </c>
      <c r="R4">
        <v>0</v>
      </c>
      <c r="S4">
        <v>-0.152808329667107</v>
      </c>
      <c r="T4">
        <v>-1042</v>
      </c>
      <c r="U4">
        <v>0</v>
      </c>
      <c r="V4">
        <v>0</v>
      </c>
      <c r="W4">
        <v>-1042</v>
      </c>
      <c r="X4">
        <v>-1075</v>
      </c>
      <c r="Y4">
        <v>-5396.8081089770803</v>
      </c>
      <c r="Z4">
        <v>5.0202866130019403</v>
      </c>
      <c r="AA4">
        <v>-5231.1386507480202</v>
      </c>
      <c r="AB4">
        <v>0</v>
      </c>
      <c r="AC4">
        <v>0</v>
      </c>
      <c r="AD4">
        <v>-5231.1386507480202</v>
      </c>
      <c r="AE4">
        <v>2</v>
      </c>
      <c r="AF4">
        <v>1</v>
      </c>
      <c r="AG4" t="s">
        <v>172</v>
      </c>
      <c r="AH4">
        <v>-165.66945822906399</v>
      </c>
      <c r="AI4">
        <v>-5231.1386507480202</v>
      </c>
      <c r="AJ4" t="s">
        <v>102</v>
      </c>
    </row>
    <row r="5" spans="1:36" x14ac:dyDescent="0.25">
      <c r="A5" t="s">
        <v>42</v>
      </c>
      <c r="B5" t="s">
        <v>19</v>
      </c>
      <c r="C5" t="s">
        <v>56</v>
      </c>
      <c r="D5" t="s">
        <v>55</v>
      </c>
      <c r="E5" t="s">
        <v>76</v>
      </c>
      <c r="F5">
        <v>3696</v>
      </c>
      <c r="G5">
        <v>2871</v>
      </c>
      <c r="H5">
        <v>1</v>
      </c>
      <c r="I5">
        <v>1</v>
      </c>
      <c r="J5">
        <v>9180</v>
      </c>
      <c r="K5">
        <v>8105</v>
      </c>
      <c r="L5">
        <v>1</v>
      </c>
      <c r="M5">
        <v>1</v>
      </c>
      <c r="N5">
        <v>1</v>
      </c>
      <c r="O5">
        <v>1</v>
      </c>
      <c r="P5">
        <v>3696</v>
      </c>
      <c r="Q5">
        <v>2871</v>
      </c>
      <c r="R5">
        <v>0</v>
      </c>
      <c r="S5">
        <v>-0.223214285714286</v>
      </c>
      <c r="T5">
        <v>-825</v>
      </c>
      <c r="U5">
        <v>0</v>
      </c>
      <c r="V5">
        <v>0</v>
      </c>
      <c r="W5">
        <v>-825</v>
      </c>
      <c r="X5">
        <v>-1075</v>
      </c>
      <c r="Y5">
        <v>-5396.8081089770803</v>
      </c>
      <c r="Z5">
        <v>5.0202866130019403</v>
      </c>
      <c r="AA5">
        <v>-4141.7364557266001</v>
      </c>
      <c r="AB5">
        <v>0</v>
      </c>
      <c r="AC5">
        <v>0</v>
      </c>
      <c r="AD5">
        <v>-4141.7364557266001</v>
      </c>
      <c r="AE5">
        <v>3</v>
      </c>
      <c r="AF5">
        <v>1</v>
      </c>
      <c r="AG5" t="s">
        <v>173</v>
      </c>
      <c r="AH5">
        <v>-602.43439356023202</v>
      </c>
      <c r="AI5">
        <v>-4141.7364557266001</v>
      </c>
      <c r="AJ5" t="s">
        <v>105</v>
      </c>
    </row>
    <row r="6" spans="1:36" x14ac:dyDescent="0.25">
      <c r="A6" t="s">
        <v>42</v>
      </c>
      <c r="B6" t="s">
        <v>19</v>
      </c>
      <c r="C6" t="s">
        <v>48</v>
      </c>
      <c r="D6" t="s">
        <v>47</v>
      </c>
      <c r="E6" t="s">
        <v>119</v>
      </c>
      <c r="F6">
        <v>6721</v>
      </c>
      <c r="G6">
        <v>5703</v>
      </c>
      <c r="H6">
        <v>1</v>
      </c>
      <c r="I6">
        <v>1</v>
      </c>
      <c r="J6">
        <v>9180</v>
      </c>
      <c r="K6">
        <v>8105</v>
      </c>
      <c r="L6">
        <v>1</v>
      </c>
      <c r="M6">
        <v>1</v>
      </c>
      <c r="N6">
        <v>1</v>
      </c>
      <c r="O6">
        <v>1</v>
      </c>
      <c r="P6">
        <v>6721</v>
      </c>
      <c r="Q6">
        <v>5703</v>
      </c>
      <c r="R6">
        <v>0</v>
      </c>
      <c r="S6">
        <v>-0.151465555720875</v>
      </c>
      <c r="T6">
        <v>-1018</v>
      </c>
      <c r="U6">
        <v>0</v>
      </c>
      <c r="V6">
        <v>0</v>
      </c>
      <c r="W6">
        <v>-1018</v>
      </c>
      <c r="X6">
        <v>-1075</v>
      </c>
      <c r="Y6">
        <v>-5396.8081089770803</v>
      </c>
      <c r="Z6">
        <v>5.0202866130019403</v>
      </c>
      <c r="AA6">
        <v>-5110.6517720359698</v>
      </c>
      <c r="AB6">
        <v>0</v>
      </c>
      <c r="AC6">
        <v>0</v>
      </c>
      <c r="AD6">
        <v>-5110.6517720359698</v>
      </c>
      <c r="AE6">
        <v>4</v>
      </c>
      <c r="AF6">
        <v>1</v>
      </c>
      <c r="AG6" t="s">
        <v>174</v>
      </c>
      <c r="AH6">
        <v>-286.15633694111</v>
      </c>
      <c r="AI6">
        <v>-5110.6517720359698</v>
      </c>
      <c r="AJ6" t="s">
        <v>108</v>
      </c>
    </row>
    <row r="7" spans="1:36" x14ac:dyDescent="0.25">
      <c r="A7" t="s">
        <v>42</v>
      </c>
      <c r="B7" t="s">
        <v>19</v>
      </c>
      <c r="C7" t="s">
        <v>96</v>
      </c>
      <c r="D7" t="s">
        <v>109</v>
      </c>
      <c r="E7" t="s">
        <v>133</v>
      </c>
      <c r="F7">
        <v>1427</v>
      </c>
      <c r="G7">
        <v>1086</v>
      </c>
      <c r="H7">
        <v>1</v>
      </c>
      <c r="I7">
        <v>1</v>
      </c>
      <c r="J7">
        <v>9180</v>
      </c>
      <c r="K7">
        <v>8105</v>
      </c>
      <c r="L7">
        <v>1</v>
      </c>
      <c r="M7">
        <v>1</v>
      </c>
      <c r="N7">
        <v>1</v>
      </c>
      <c r="O7">
        <v>1</v>
      </c>
      <c r="P7">
        <v>1427</v>
      </c>
      <c r="Q7">
        <v>1086</v>
      </c>
      <c r="R7">
        <v>0</v>
      </c>
      <c r="S7">
        <v>-0.23896285914505999</v>
      </c>
      <c r="T7">
        <v>-341</v>
      </c>
      <c r="U7">
        <v>0</v>
      </c>
      <c r="V7">
        <v>0</v>
      </c>
      <c r="W7">
        <v>-341</v>
      </c>
      <c r="X7">
        <v>-1075</v>
      </c>
      <c r="Y7">
        <v>-5396.8081089770803</v>
      </c>
      <c r="Z7">
        <v>5.0202866130019403</v>
      </c>
      <c r="AA7">
        <v>-1711.9177350336599</v>
      </c>
      <c r="AB7">
        <v>0</v>
      </c>
      <c r="AC7">
        <v>0</v>
      </c>
      <c r="AD7">
        <v>-1711.9177350336599</v>
      </c>
      <c r="AE7">
        <v>5</v>
      </c>
      <c r="AF7">
        <v>1</v>
      </c>
      <c r="AG7" t="s">
        <v>175</v>
      </c>
      <c r="AH7">
        <v>291.17662355411198</v>
      </c>
      <c r="AI7">
        <v>-1711.9177350336599</v>
      </c>
      <c r="AJ7" t="s">
        <v>112</v>
      </c>
    </row>
    <row r="8" spans="1:36" x14ac:dyDescent="0.25">
      <c r="A8" t="s">
        <v>46</v>
      </c>
      <c r="B8" t="s">
        <v>20</v>
      </c>
      <c r="C8" t="s">
        <v>44</v>
      </c>
      <c r="D8" t="s">
        <v>43</v>
      </c>
      <c r="E8" t="s">
        <v>74</v>
      </c>
      <c r="F8">
        <v>3605</v>
      </c>
      <c r="G8">
        <v>2723</v>
      </c>
      <c r="H8">
        <v>3441</v>
      </c>
      <c r="I8">
        <v>2633</v>
      </c>
      <c r="J8">
        <v>9635</v>
      </c>
      <c r="K8">
        <v>8491</v>
      </c>
      <c r="L8">
        <v>9180</v>
      </c>
      <c r="M8">
        <v>8105</v>
      </c>
      <c r="N8">
        <v>0.37483660130718999</v>
      </c>
      <c r="O8">
        <v>0.32486119679210401</v>
      </c>
      <c r="P8">
        <v>1.0476605637895999</v>
      </c>
      <c r="Q8">
        <v>1.0341815419673399</v>
      </c>
      <c r="R8">
        <v>-4.9975404515085899E-2</v>
      </c>
      <c r="S8">
        <v>-1.28658291512875E-2</v>
      </c>
      <c r="T8">
        <v>-5.0524307288008002E-3</v>
      </c>
      <c r="U8">
        <v>-1.78116851919704E-6</v>
      </c>
      <c r="V8">
        <v>6.7361956803503695E-4</v>
      </c>
      <c r="W8">
        <v>-4.3805923292849604E-3</v>
      </c>
      <c r="X8">
        <v>-3.4851858651426802E-3</v>
      </c>
      <c r="Y8">
        <v>-85.156487136903493</v>
      </c>
      <c r="Z8">
        <v>43909.870427147303</v>
      </c>
      <c r="AA8">
        <v>-221.85157864378101</v>
      </c>
      <c r="AB8">
        <v>-7.82108788868561E-2</v>
      </c>
      <c r="AC8">
        <v>29.578547949609401</v>
      </c>
      <c r="AD8">
        <v>-192.35124157305799</v>
      </c>
      <c r="AE8">
        <v>1</v>
      </c>
      <c r="AF8">
        <v>2</v>
      </c>
      <c r="AG8" t="s">
        <v>176</v>
      </c>
      <c r="AH8">
        <v>72.955966359249302</v>
      </c>
      <c r="AI8">
        <v>-221.85157864378101</v>
      </c>
      <c r="AJ8" t="s">
        <v>114</v>
      </c>
    </row>
    <row r="9" spans="1:36" x14ac:dyDescent="0.25">
      <c r="A9" t="s">
        <v>46</v>
      </c>
      <c r="B9" t="s">
        <v>20</v>
      </c>
      <c r="C9" t="s">
        <v>99</v>
      </c>
      <c r="D9" t="s">
        <v>100</v>
      </c>
      <c r="E9" t="s">
        <v>138</v>
      </c>
      <c r="F9">
        <v>7106</v>
      </c>
      <c r="G9">
        <v>5995</v>
      </c>
      <c r="H9">
        <v>6819</v>
      </c>
      <c r="I9">
        <v>5777</v>
      </c>
      <c r="J9">
        <v>9635</v>
      </c>
      <c r="K9">
        <v>8491</v>
      </c>
      <c r="L9">
        <v>9180</v>
      </c>
      <c r="M9">
        <v>8105</v>
      </c>
      <c r="N9">
        <v>0.74281045751634001</v>
      </c>
      <c r="O9">
        <v>0.71276989512646505</v>
      </c>
      <c r="P9">
        <v>1.0420882827394</v>
      </c>
      <c r="Q9">
        <v>1.0377358490566</v>
      </c>
      <c r="R9">
        <v>-3.0040562389874698E-2</v>
      </c>
      <c r="S9">
        <v>-4.1766458321164102E-3</v>
      </c>
      <c r="T9">
        <v>-3.23303325523088E-3</v>
      </c>
      <c r="U9">
        <v>1.6632378378732599E-4</v>
      </c>
      <c r="V9">
        <v>1.30749555595973E-4</v>
      </c>
      <c r="W9">
        <v>-2.9359599158475802E-3</v>
      </c>
      <c r="X9">
        <v>-2.9736167738616901E-3</v>
      </c>
      <c r="Y9">
        <v>-85.156487136903493</v>
      </c>
      <c r="Z9">
        <v>43909.870427147303</v>
      </c>
      <c r="AA9">
        <v>-141.962071323846</v>
      </c>
      <c r="AB9">
        <v>7.3032557950543202</v>
      </c>
      <c r="AC9">
        <v>5.7411960446262702</v>
      </c>
      <c r="AD9">
        <v>-128.91761948416499</v>
      </c>
      <c r="AE9">
        <v>2</v>
      </c>
      <c r="AF9">
        <v>2</v>
      </c>
      <c r="AG9" t="s">
        <v>177</v>
      </c>
      <c r="AH9">
        <v>11.390944083587399</v>
      </c>
      <c r="AI9">
        <v>-141.962071323846</v>
      </c>
      <c r="AJ9" t="s">
        <v>116</v>
      </c>
    </row>
    <row r="10" spans="1:36" x14ac:dyDescent="0.25">
      <c r="A10" t="s">
        <v>46</v>
      </c>
      <c r="B10" t="s">
        <v>20</v>
      </c>
      <c r="C10" t="s">
        <v>56</v>
      </c>
      <c r="D10" t="s">
        <v>55</v>
      </c>
      <c r="E10" t="s">
        <v>76</v>
      </c>
      <c r="F10">
        <v>3788</v>
      </c>
      <c r="G10">
        <v>2923</v>
      </c>
      <c r="H10">
        <v>3696</v>
      </c>
      <c r="I10">
        <v>2871</v>
      </c>
      <c r="J10">
        <v>9635</v>
      </c>
      <c r="K10">
        <v>8491</v>
      </c>
      <c r="L10">
        <v>9180</v>
      </c>
      <c r="M10">
        <v>8105</v>
      </c>
      <c r="N10">
        <v>0.402614379084967</v>
      </c>
      <c r="O10">
        <v>0.35422578655151099</v>
      </c>
      <c r="P10">
        <v>1.0248917748917701</v>
      </c>
      <c r="Q10">
        <v>1.0181121560431901</v>
      </c>
      <c r="R10">
        <v>-4.8388592533455899E-2</v>
      </c>
      <c r="S10">
        <v>-6.6149607350496397E-3</v>
      </c>
      <c r="T10">
        <v>-2.7295720331555798E-3</v>
      </c>
      <c r="U10">
        <v>1.1000250353488501E-3</v>
      </c>
      <c r="V10">
        <v>3.2805621399629097E-4</v>
      </c>
      <c r="W10">
        <v>-1.30149078381043E-3</v>
      </c>
      <c r="X10">
        <v>-3.6393826070883102E-3</v>
      </c>
      <c r="Y10">
        <v>-85.156487136903493</v>
      </c>
      <c r="Z10">
        <v>43909.870427147303</v>
      </c>
      <c r="AA10">
        <v>-119.855154297426</v>
      </c>
      <c r="AB10">
        <v>48.301956768786297</v>
      </c>
      <c r="AC10">
        <v>14.4049058493977</v>
      </c>
      <c r="AD10">
        <v>-57.148291679242398</v>
      </c>
      <c r="AE10">
        <v>3</v>
      </c>
      <c r="AF10">
        <v>2</v>
      </c>
      <c r="AG10" t="s">
        <v>173</v>
      </c>
      <c r="AH10">
        <v>30.995202654457</v>
      </c>
      <c r="AI10">
        <v>-119.855154297426</v>
      </c>
      <c r="AJ10" t="s">
        <v>118</v>
      </c>
    </row>
    <row r="11" spans="1:36" x14ac:dyDescent="0.25">
      <c r="A11" t="s">
        <v>46</v>
      </c>
      <c r="B11" t="s">
        <v>20</v>
      </c>
      <c r="C11" t="s">
        <v>48</v>
      </c>
      <c r="D11" t="s">
        <v>47</v>
      </c>
      <c r="E11" t="s">
        <v>106</v>
      </c>
      <c r="F11">
        <v>2612</v>
      </c>
      <c r="G11">
        <v>2503</v>
      </c>
      <c r="H11">
        <v>2459</v>
      </c>
      <c r="I11">
        <v>2402</v>
      </c>
      <c r="J11">
        <v>9635</v>
      </c>
      <c r="K11">
        <v>8491</v>
      </c>
      <c r="L11">
        <v>9180</v>
      </c>
      <c r="M11">
        <v>8105</v>
      </c>
      <c r="N11">
        <v>0.267864923747277</v>
      </c>
      <c r="O11">
        <v>0.29636027143738403</v>
      </c>
      <c r="P11">
        <v>1.0622204148027701</v>
      </c>
      <c r="Q11">
        <v>1.04204829308909</v>
      </c>
      <c r="R11">
        <v>2.84953476901076E-2</v>
      </c>
      <c r="S11">
        <v>-1.8990523466279399E-2</v>
      </c>
      <c r="T11">
        <v>-5.4034038446538002E-3</v>
      </c>
      <c r="U11">
        <v>4.1590361684485202E-4</v>
      </c>
      <c r="V11">
        <v>-5.7481162187828199E-4</v>
      </c>
      <c r="W11">
        <v>-5.5623118496872298E-3</v>
      </c>
      <c r="X11">
        <v>-1.7135100953485499E-3</v>
      </c>
      <c r="Y11">
        <v>-85.156487136903493</v>
      </c>
      <c r="Z11">
        <v>43909.870427147303</v>
      </c>
      <c r="AA11">
        <v>-237.262762684298</v>
      </c>
      <c r="AB11">
        <v>18.262273925839398</v>
      </c>
      <c r="AC11">
        <v>-25.239903836693699</v>
      </c>
      <c r="AD11">
        <v>-244.240392595152</v>
      </c>
      <c r="AE11">
        <v>4</v>
      </c>
      <c r="AF11">
        <v>2</v>
      </c>
      <c r="AG11" t="s">
        <v>49</v>
      </c>
      <c r="AH11">
        <v>162.02275642193499</v>
      </c>
      <c r="AI11">
        <v>-237.262762684298</v>
      </c>
      <c r="AJ11" t="s">
        <v>121</v>
      </c>
    </row>
    <row r="12" spans="1:36" x14ac:dyDescent="0.25">
      <c r="A12" t="s">
        <v>46</v>
      </c>
      <c r="B12" t="s">
        <v>20</v>
      </c>
      <c r="C12" t="s">
        <v>96</v>
      </c>
      <c r="D12" t="s">
        <v>109</v>
      </c>
      <c r="E12" t="s">
        <v>178</v>
      </c>
      <c r="F12">
        <v>58</v>
      </c>
      <c r="G12">
        <v>0</v>
      </c>
      <c r="H12">
        <v>58</v>
      </c>
      <c r="I12">
        <v>0</v>
      </c>
      <c r="J12">
        <v>9635</v>
      </c>
      <c r="K12">
        <v>8491</v>
      </c>
      <c r="L12">
        <v>9180</v>
      </c>
      <c r="M12">
        <v>8105</v>
      </c>
      <c r="N12">
        <v>6.31808278867102E-3</v>
      </c>
      <c r="O12">
        <v>0</v>
      </c>
      <c r="P12">
        <v>1</v>
      </c>
      <c r="Q12">
        <v>0</v>
      </c>
      <c r="R12">
        <v>-6.31808278867102E-3</v>
      </c>
      <c r="S12">
        <v>-1</v>
      </c>
      <c r="T12">
        <v>-6.31808278867102E-3</v>
      </c>
      <c r="U12">
        <v>3.0089820560481298E-4</v>
      </c>
      <c r="V12">
        <v>6.31808278867102E-3</v>
      </c>
      <c r="W12">
        <v>3.0089820560481298E-4</v>
      </c>
      <c r="X12">
        <v>-1.9803311511706299E-2</v>
      </c>
      <c r="Y12">
        <v>-85.156487136903493</v>
      </c>
      <c r="Z12">
        <v>43909.870427147303</v>
      </c>
      <c r="AA12">
        <v>-277.42619659853398</v>
      </c>
      <c r="AB12">
        <v>13.2124012198685</v>
      </c>
      <c r="AC12">
        <v>277.42619659853398</v>
      </c>
      <c r="AD12">
        <v>13.2124012198685</v>
      </c>
      <c r="AE12">
        <v>5</v>
      </c>
      <c r="AF12">
        <v>2</v>
      </c>
      <c r="AG12" t="s">
        <v>179</v>
      </c>
      <c r="AH12">
        <v>48.9901013587208</v>
      </c>
      <c r="AI12">
        <v>-277.42619659853398</v>
      </c>
      <c r="AJ12" t="s">
        <v>124</v>
      </c>
    </row>
    <row r="13" spans="1:36" x14ac:dyDescent="0.25">
      <c r="A13" t="s">
        <v>50</v>
      </c>
      <c r="B13" t="s">
        <v>21</v>
      </c>
      <c r="C13" t="s">
        <v>44</v>
      </c>
      <c r="D13" t="s">
        <v>43</v>
      </c>
      <c r="E13" t="s">
        <v>73</v>
      </c>
      <c r="F13">
        <v>100</v>
      </c>
      <c r="G13">
        <v>52.5</v>
      </c>
      <c r="H13">
        <v>4191</v>
      </c>
      <c r="I13">
        <v>4092</v>
      </c>
      <c r="J13">
        <v>397</v>
      </c>
      <c r="K13">
        <v>256.5</v>
      </c>
      <c r="L13">
        <v>9635</v>
      </c>
      <c r="M13">
        <v>8491</v>
      </c>
      <c r="N13">
        <v>0.43497664763881699</v>
      </c>
      <c r="O13">
        <v>0.48192203509598402</v>
      </c>
      <c r="P13">
        <v>2.3860653781913599E-2</v>
      </c>
      <c r="Q13">
        <v>1.2829912023460399E-2</v>
      </c>
      <c r="R13">
        <v>4.6945387457167101E-2</v>
      </c>
      <c r="S13">
        <v>-0.46229838709677401</v>
      </c>
      <c r="T13">
        <v>-4.7981150710614904E-3</v>
      </c>
      <c r="U13">
        <v>-2.98000035204529E-4</v>
      </c>
      <c r="V13">
        <v>-5.1784244579053905E-4</v>
      </c>
      <c r="W13">
        <v>-5.6139575520565499E-3</v>
      </c>
      <c r="X13">
        <v>-7.8517061691143995E-3</v>
      </c>
      <c r="Y13">
        <v>-12298.3518033788</v>
      </c>
      <c r="Z13">
        <v>1118490.7725929299</v>
      </c>
      <c r="AA13">
        <v>-5366.6474328213299</v>
      </c>
      <c r="AB13">
        <v>-333.31028960863398</v>
      </c>
      <c r="AC13">
        <v>-579.20199727367105</v>
      </c>
      <c r="AD13">
        <v>-6279.1597197036299</v>
      </c>
      <c r="AE13">
        <v>1</v>
      </c>
      <c r="AF13">
        <v>3</v>
      </c>
      <c r="AG13" t="s">
        <v>51</v>
      </c>
      <c r="AH13">
        <v>60.723943402812303</v>
      </c>
      <c r="AI13">
        <v>-5366.6474328213299</v>
      </c>
      <c r="AJ13" t="s">
        <v>126</v>
      </c>
    </row>
    <row r="14" spans="1:36" x14ac:dyDescent="0.25">
      <c r="A14" t="s">
        <v>50</v>
      </c>
      <c r="B14" t="s">
        <v>21</v>
      </c>
      <c r="C14" t="s">
        <v>99</v>
      </c>
      <c r="D14" t="s">
        <v>100</v>
      </c>
      <c r="E14" t="s">
        <v>138</v>
      </c>
      <c r="F14">
        <v>373</v>
      </c>
      <c r="G14">
        <v>243.75</v>
      </c>
      <c r="H14">
        <v>7106</v>
      </c>
      <c r="I14">
        <v>5995</v>
      </c>
      <c r="J14">
        <v>397</v>
      </c>
      <c r="K14">
        <v>256.5</v>
      </c>
      <c r="L14">
        <v>9635</v>
      </c>
      <c r="M14">
        <v>8491</v>
      </c>
      <c r="N14">
        <v>0.73751946030098603</v>
      </c>
      <c r="O14">
        <v>0.70604169120244997</v>
      </c>
      <c r="P14">
        <v>5.2490852800450301E-2</v>
      </c>
      <c r="Q14">
        <v>4.0658882402001703E-2</v>
      </c>
      <c r="R14">
        <v>-3.1477769098536397E-2</v>
      </c>
      <c r="S14">
        <v>-0.22541013847553901</v>
      </c>
      <c r="T14">
        <v>-8.7263084225610906E-3</v>
      </c>
      <c r="U14">
        <v>-7.0140014106099299E-4</v>
      </c>
      <c r="V14">
        <v>3.7244403218308398E-4</v>
      </c>
      <c r="W14">
        <v>-9.0552645314390008E-3</v>
      </c>
      <c r="X14">
        <v>-9.8764309226608907E-3</v>
      </c>
      <c r="Y14">
        <v>-12298.3518033788</v>
      </c>
      <c r="Z14">
        <v>1118490.7725929299</v>
      </c>
      <c r="AA14">
        <v>-9760.2954494345304</v>
      </c>
      <c r="AB14">
        <v>-784.50958567209898</v>
      </c>
      <c r="AC14">
        <v>416.57521330408298</v>
      </c>
      <c r="AD14">
        <v>-10128.229821802501</v>
      </c>
      <c r="AE14">
        <v>2</v>
      </c>
      <c r="AF14">
        <v>3</v>
      </c>
      <c r="AG14" t="s">
        <v>180</v>
      </c>
      <c r="AH14">
        <v>-1286.4014037131301</v>
      </c>
      <c r="AI14">
        <v>-9760.2954494345304</v>
      </c>
      <c r="AJ14" t="s">
        <v>128</v>
      </c>
    </row>
    <row r="15" spans="1:36" x14ac:dyDescent="0.25">
      <c r="A15" t="s">
        <v>50</v>
      </c>
      <c r="B15" t="s">
        <v>21</v>
      </c>
      <c r="C15" t="s">
        <v>56</v>
      </c>
      <c r="D15" t="s">
        <v>55</v>
      </c>
      <c r="E15" t="s">
        <v>141</v>
      </c>
      <c r="F15">
        <v>296</v>
      </c>
      <c r="G15">
        <v>202.5</v>
      </c>
      <c r="H15">
        <v>5583</v>
      </c>
      <c r="I15">
        <v>5430</v>
      </c>
      <c r="J15">
        <v>397</v>
      </c>
      <c r="K15">
        <v>256.5</v>
      </c>
      <c r="L15">
        <v>9635</v>
      </c>
      <c r="M15">
        <v>8491</v>
      </c>
      <c r="N15">
        <v>0.57944992215879598</v>
      </c>
      <c r="O15">
        <v>0.63950064774467097</v>
      </c>
      <c r="P15">
        <v>5.3018090632276603E-2</v>
      </c>
      <c r="Q15">
        <v>3.7292817679557999E-2</v>
      </c>
      <c r="R15">
        <v>6.0050725585874799E-2</v>
      </c>
      <c r="S15">
        <v>-0.29660202329401197</v>
      </c>
      <c r="T15">
        <v>-9.1120081883785797E-3</v>
      </c>
      <c r="U15">
        <v>1.3697351092813901E-3</v>
      </c>
      <c r="V15">
        <v>-9.4431405084667997E-4</v>
      </c>
      <c r="W15">
        <v>-8.6865871299438707E-3</v>
      </c>
      <c r="X15">
        <v>-1.06982478726254E-2</v>
      </c>
      <c r="Y15">
        <v>-12298.3518033788</v>
      </c>
      <c r="Z15">
        <v>1118490.7725929299</v>
      </c>
      <c r="AA15">
        <v>-10191.6970784926</v>
      </c>
      <c r="AB15">
        <v>1532.0360806277999</v>
      </c>
      <c r="AC15">
        <v>-1056.20655230186</v>
      </c>
      <c r="AD15">
        <v>-9715.8675501667003</v>
      </c>
      <c r="AE15">
        <v>3</v>
      </c>
      <c r="AF15">
        <v>3</v>
      </c>
      <c r="AG15" t="s">
        <v>181</v>
      </c>
      <c r="AH15">
        <v>-721.75348246108501</v>
      </c>
      <c r="AI15">
        <v>-10191.6970784926</v>
      </c>
      <c r="AJ15" t="s">
        <v>130</v>
      </c>
    </row>
    <row r="16" spans="1:36" x14ac:dyDescent="0.25">
      <c r="A16" t="s">
        <v>50</v>
      </c>
      <c r="B16" t="s">
        <v>21</v>
      </c>
      <c r="C16" t="s">
        <v>48</v>
      </c>
      <c r="D16" t="s">
        <v>47</v>
      </c>
      <c r="E16" t="s">
        <v>119</v>
      </c>
      <c r="F16">
        <v>296</v>
      </c>
      <c r="G16">
        <v>194.25</v>
      </c>
      <c r="H16">
        <v>7023</v>
      </c>
      <c r="I16">
        <v>5988</v>
      </c>
      <c r="J16">
        <v>397</v>
      </c>
      <c r="K16">
        <v>256.5</v>
      </c>
      <c r="L16">
        <v>9635</v>
      </c>
      <c r="M16">
        <v>8491</v>
      </c>
      <c r="N16">
        <v>0.72890503373118798</v>
      </c>
      <c r="O16">
        <v>0.70521728889412305</v>
      </c>
      <c r="P16">
        <v>4.2147230528264301E-2</v>
      </c>
      <c r="Q16">
        <v>3.2439879759519001E-2</v>
      </c>
      <c r="R16">
        <v>-2.3687744837065299E-2</v>
      </c>
      <c r="S16">
        <v>-0.23032001503006</v>
      </c>
      <c r="T16">
        <v>-7.0757368395327298E-3</v>
      </c>
      <c r="U16">
        <v>-2.8280264440264498E-4</v>
      </c>
      <c r="V16">
        <v>2.2994524805392699E-4</v>
      </c>
      <c r="W16">
        <v>-7.1285942358814396E-3</v>
      </c>
      <c r="X16">
        <v>-1.08161782527533E-2</v>
      </c>
      <c r="Y16">
        <v>-12298.3518033788</v>
      </c>
      <c r="Z16">
        <v>1118490.7725929299</v>
      </c>
      <c r="AA16">
        <v>-7914.1463643132001</v>
      </c>
      <c r="AB16">
        <v>-316.31214822923698</v>
      </c>
      <c r="AC16">
        <v>257.19163814990901</v>
      </c>
      <c r="AD16">
        <v>-7973.2668743925196</v>
      </c>
      <c r="AE16">
        <v>4</v>
      </c>
      <c r="AF16">
        <v>3</v>
      </c>
      <c r="AG16" t="s">
        <v>182</v>
      </c>
      <c r="AH16">
        <v>-4183.6492061116696</v>
      </c>
      <c r="AI16">
        <v>-7914.1463643132001</v>
      </c>
      <c r="AJ16" t="s">
        <v>132</v>
      </c>
    </row>
    <row r="17" spans="1:36" x14ac:dyDescent="0.25">
      <c r="A17" t="s">
        <v>50</v>
      </c>
      <c r="B17" t="s">
        <v>21</v>
      </c>
      <c r="C17" t="s">
        <v>96</v>
      </c>
      <c r="D17" t="s">
        <v>109</v>
      </c>
      <c r="E17" t="s">
        <v>145</v>
      </c>
      <c r="F17">
        <v>149</v>
      </c>
      <c r="G17">
        <v>106.5</v>
      </c>
      <c r="H17">
        <v>1104</v>
      </c>
      <c r="I17">
        <v>915</v>
      </c>
      <c r="J17">
        <v>397</v>
      </c>
      <c r="K17">
        <v>256.5</v>
      </c>
      <c r="L17">
        <v>9635</v>
      </c>
      <c r="M17">
        <v>8491</v>
      </c>
      <c r="N17">
        <v>0.114582252205501</v>
      </c>
      <c r="O17">
        <v>0.10776115887410199</v>
      </c>
      <c r="P17">
        <v>0.13496376811594199</v>
      </c>
      <c r="Q17">
        <v>0.116393442622951</v>
      </c>
      <c r="R17">
        <v>-6.8210933313987802E-3</v>
      </c>
      <c r="S17">
        <v>-0.137594894927935</v>
      </c>
      <c r="T17">
        <v>-2.1278297191761599E-3</v>
      </c>
      <c r="U17">
        <v>-7.1454576081910403E-4</v>
      </c>
      <c r="V17">
        <v>1.2666992338214699E-4</v>
      </c>
      <c r="W17">
        <v>-2.7157055566131199E-3</v>
      </c>
      <c r="X17">
        <v>-9.4936791673337993E-3</v>
      </c>
      <c r="Y17">
        <v>-12298.3518033788</v>
      </c>
      <c r="Z17">
        <v>1118490.7725929299</v>
      </c>
      <c r="AA17">
        <v>-2379.95790654753</v>
      </c>
      <c r="AB17">
        <v>-799.21284007155998</v>
      </c>
      <c r="AC17">
        <v>141.67914046798501</v>
      </c>
      <c r="AD17">
        <v>-3037.4916061511099</v>
      </c>
      <c r="AE17">
        <v>5</v>
      </c>
      <c r="AF17">
        <v>3</v>
      </c>
      <c r="AG17" t="s">
        <v>183</v>
      </c>
      <c r="AH17">
        <v>697.14654033916202</v>
      </c>
      <c r="AI17">
        <v>-2379.95790654753</v>
      </c>
      <c r="AJ17" t="s">
        <v>135</v>
      </c>
    </row>
    <row r="18" spans="1:36" x14ac:dyDescent="0.25">
      <c r="A18" t="s">
        <v>52</v>
      </c>
      <c r="B18" t="s">
        <v>22</v>
      </c>
      <c r="C18" t="s">
        <v>44</v>
      </c>
      <c r="D18" t="s">
        <v>43</v>
      </c>
      <c r="E18" t="s">
        <v>73</v>
      </c>
      <c r="F18">
        <v>38</v>
      </c>
      <c r="G18">
        <v>18</v>
      </c>
      <c r="H18">
        <v>100</v>
      </c>
      <c r="I18">
        <v>52.5</v>
      </c>
      <c r="J18">
        <v>248</v>
      </c>
      <c r="K18">
        <v>164.25</v>
      </c>
      <c r="L18">
        <v>397</v>
      </c>
      <c r="M18">
        <v>256.5</v>
      </c>
      <c r="N18">
        <v>0.25188916876574302</v>
      </c>
      <c r="O18">
        <v>0.20467836257309899</v>
      </c>
      <c r="P18">
        <v>0.38</v>
      </c>
      <c r="Q18">
        <v>0.34285714285714303</v>
      </c>
      <c r="R18">
        <v>-4.7210806192643701E-2</v>
      </c>
      <c r="S18">
        <v>-9.7744360902255703E-2</v>
      </c>
      <c r="T18">
        <v>-9.3558834112990302E-3</v>
      </c>
      <c r="U18">
        <v>1.22913748052427E-2</v>
      </c>
      <c r="V18">
        <v>1.7535442300124801E-3</v>
      </c>
      <c r="W18">
        <v>4.6890356239561197E-3</v>
      </c>
      <c r="X18">
        <v>-5.3164412536533404E-3</v>
      </c>
      <c r="Y18">
        <v>1128.78981412292</v>
      </c>
      <c r="Z18">
        <v>72054.681816044307</v>
      </c>
      <c r="AA18">
        <v>-674.13520230915799</v>
      </c>
      <c r="AB18">
        <v>885.65110067350395</v>
      </c>
      <c r="AC18">
        <v>126.35107154391</v>
      </c>
      <c r="AD18">
        <v>337.86696990825499</v>
      </c>
      <c r="AE18">
        <v>1</v>
      </c>
      <c r="AF18">
        <v>4</v>
      </c>
      <c r="AG18" t="s">
        <v>184</v>
      </c>
      <c r="AH18">
        <v>396.93451718202903</v>
      </c>
      <c r="AI18">
        <v>-674.13520230915799</v>
      </c>
      <c r="AJ18" t="s">
        <v>137</v>
      </c>
    </row>
    <row r="19" spans="1:36" x14ac:dyDescent="0.25">
      <c r="A19" t="s">
        <v>52</v>
      </c>
      <c r="B19" t="s">
        <v>22</v>
      </c>
      <c r="C19" t="s">
        <v>99</v>
      </c>
      <c r="D19" t="s">
        <v>100</v>
      </c>
      <c r="E19" t="s">
        <v>76</v>
      </c>
      <c r="F19">
        <v>6</v>
      </c>
      <c r="G19">
        <v>3</v>
      </c>
      <c r="H19">
        <v>24</v>
      </c>
      <c r="I19">
        <v>12.75</v>
      </c>
      <c r="J19">
        <v>248</v>
      </c>
      <c r="K19">
        <v>164.25</v>
      </c>
      <c r="L19">
        <v>397</v>
      </c>
      <c r="M19">
        <v>256.5</v>
      </c>
      <c r="N19">
        <v>6.0453400503778301E-2</v>
      </c>
      <c r="O19">
        <v>4.9707602339181298E-2</v>
      </c>
      <c r="P19">
        <v>0.25</v>
      </c>
      <c r="Q19">
        <v>0.23529411764705899</v>
      </c>
      <c r="R19">
        <v>-1.0745798164597101E-2</v>
      </c>
      <c r="S19">
        <v>-5.8823529411764698E-2</v>
      </c>
      <c r="T19">
        <v>-8.8902059564379896E-4</v>
      </c>
      <c r="U19">
        <v>4.1946317396892004E-3</v>
      </c>
      <c r="V19">
        <v>1.5802644359701599E-4</v>
      </c>
      <c r="W19">
        <v>3.4636375876424198E-3</v>
      </c>
      <c r="X19">
        <v>1.1085402965681499E-2</v>
      </c>
      <c r="Y19">
        <v>1128.78981412292</v>
      </c>
      <c r="Z19">
        <v>72054.681816044307</v>
      </c>
      <c r="AA19">
        <v>-64.058096147024102</v>
      </c>
      <c r="AB19">
        <v>302.242855338786</v>
      </c>
      <c r="AC19">
        <v>11.386545111904001</v>
      </c>
      <c r="AD19">
        <v>249.57130430366499</v>
      </c>
      <c r="AE19">
        <v>2</v>
      </c>
      <c r="AF19">
        <v>4</v>
      </c>
      <c r="AG19" t="s">
        <v>185</v>
      </c>
      <c r="AH19">
        <v>862.81327964183902</v>
      </c>
      <c r="AI19">
        <v>-64.058096147024102</v>
      </c>
      <c r="AJ19" t="s">
        <v>140</v>
      </c>
    </row>
    <row r="20" spans="1:36" x14ac:dyDescent="0.25">
      <c r="A20" t="s">
        <v>52</v>
      </c>
      <c r="B20" t="s">
        <v>22</v>
      </c>
      <c r="C20" t="s">
        <v>56</v>
      </c>
      <c r="D20" t="s">
        <v>55</v>
      </c>
      <c r="E20" t="s">
        <v>76</v>
      </c>
      <c r="F20">
        <v>10</v>
      </c>
      <c r="G20">
        <v>5.25</v>
      </c>
      <c r="H20">
        <v>46</v>
      </c>
      <c r="I20">
        <v>28.5</v>
      </c>
      <c r="J20">
        <v>248</v>
      </c>
      <c r="K20">
        <v>164.25</v>
      </c>
      <c r="L20">
        <v>397</v>
      </c>
      <c r="M20">
        <v>256.5</v>
      </c>
      <c r="N20">
        <v>0.115869017632242</v>
      </c>
      <c r="O20">
        <v>0.11111111111111099</v>
      </c>
      <c r="P20">
        <v>0.217391304347826</v>
      </c>
      <c r="Q20">
        <v>0.18421052631578899</v>
      </c>
      <c r="R20">
        <v>-4.7579065211307099E-3</v>
      </c>
      <c r="S20">
        <v>-0.15263157894736801</v>
      </c>
      <c r="T20">
        <v>-3.8446241548455501E-3</v>
      </c>
      <c r="U20">
        <v>2.01240210981463E-3</v>
      </c>
      <c r="V20">
        <v>1.57871040174818E-4</v>
      </c>
      <c r="W20">
        <v>-1.6743510048561E-3</v>
      </c>
      <c r="X20">
        <v>1.88572301665079E-2</v>
      </c>
      <c r="Y20">
        <v>1128.78981412292</v>
      </c>
      <c r="Z20">
        <v>72054.681816044307</v>
      </c>
      <c r="AA20">
        <v>-277.02317017967403</v>
      </c>
      <c r="AB20">
        <v>145.00299370862899</v>
      </c>
      <c r="AC20">
        <v>11.3753475677644</v>
      </c>
      <c r="AD20">
        <v>-120.644828903281</v>
      </c>
      <c r="AE20">
        <v>3</v>
      </c>
      <c r="AF20">
        <v>4</v>
      </c>
      <c r="AG20" t="s">
        <v>186</v>
      </c>
      <c r="AH20">
        <v>856.40138663718801</v>
      </c>
      <c r="AI20">
        <v>-277.02317017967403</v>
      </c>
      <c r="AJ20" t="s">
        <v>143</v>
      </c>
    </row>
    <row r="21" spans="1:36" x14ac:dyDescent="0.25">
      <c r="A21" t="s">
        <v>52</v>
      </c>
      <c r="B21" t="s">
        <v>22</v>
      </c>
      <c r="C21" t="s">
        <v>48</v>
      </c>
      <c r="D21" t="s">
        <v>47</v>
      </c>
      <c r="E21" t="s">
        <v>106</v>
      </c>
      <c r="F21">
        <v>65</v>
      </c>
      <c r="G21">
        <v>37.5</v>
      </c>
      <c r="H21">
        <v>101</v>
      </c>
      <c r="I21">
        <v>62.25</v>
      </c>
      <c r="J21">
        <v>248</v>
      </c>
      <c r="K21">
        <v>164.25</v>
      </c>
      <c r="L21">
        <v>397</v>
      </c>
      <c r="M21">
        <v>256.5</v>
      </c>
      <c r="N21">
        <v>0.25440806045340097</v>
      </c>
      <c r="O21">
        <v>0.24269005847953201</v>
      </c>
      <c r="P21">
        <v>0.64356435643564402</v>
      </c>
      <c r="Q21">
        <v>0.60240963855421703</v>
      </c>
      <c r="R21">
        <v>-1.17180019738684E-2</v>
      </c>
      <c r="S21">
        <v>-6.39481000926784E-2</v>
      </c>
      <c r="T21">
        <v>-1.04700919547206E-2</v>
      </c>
      <c r="U21">
        <v>-3.7655556108488202E-5</v>
      </c>
      <c r="V21">
        <v>4.82251065368554E-4</v>
      </c>
      <c r="W21">
        <v>-1.0025496445460601E-2</v>
      </c>
      <c r="X21">
        <v>1.50786665915191E-2</v>
      </c>
      <c r="Y21">
        <v>1128.78981412292</v>
      </c>
      <c r="Z21">
        <v>72054.681816044307</v>
      </c>
      <c r="AA21">
        <v>-754.41914438212098</v>
      </c>
      <c r="AB21">
        <v>-2.71325911400332</v>
      </c>
      <c r="AC21">
        <v>34.748447070579502</v>
      </c>
      <c r="AD21">
        <v>-722.38395642554497</v>
      </c>
      <c r="AE21">
        <v>4</v>
      </c>
      <c r="AF21">
        <v>4</v>
      </c>
      <c r="AG21" t="s">
        <v>187</v>
      </c>
      <c r="AH21">
        <v>1840.90766784424</v>
      </c>
      <c r="AI21">
        <v>-754.41914438212098</v>
      </c>
      <c r="AJ21" t="s">
        <v>144</v>
      </c>
    </row>
    <row r="22" spans="1:36" x14ac:dyDescent="0.25">
      <c r="A22" t="s">
        <v>52</v>
      </c>
      <c r="B22" t="s">
        <v>22</v>
      </c>
      <c r="C22" t="s">
        <v>96</v>
      </c>
      <c r="D22" t="s">
        <v>109</v>
      </c>
      <c r="E22" t="s">
        <v>188</v>
      </c>
      <c r="F22">
        <v>4</v>
      </c>
      <c r="G22">
        <v>0</v>
      </c>
      <c r="H22">
        <v>4</v>
      </c>
      <c r="I22">
        <v>0</v>
      </c>
      <c r="J22">
        <v>248</v>
      </c>
      <c r="K22">
        <v>164.25</v>
      </c>
      <c r="L22">
        <v>397</v>
      </c>
      <c r="M22">
        <v>256.5</v>
      </c>
      <c r="N22">
        <v>1.00755667506297E-2</v>
      </c>
      <c r="O22">
        <v>0</v>
      </c>
      <c r="P22">
        <v>1</v>
      </c>
      <c r="Q22">
        <v>0</v>
      </c>
      <c r="R22">
        <v>-1.00755667506297E-2</v>
      </c>
      <c r="S22">
        <v>-1</v>
      </c>
      <c r="T22">
        <v>-1.00755667506297E-2</v>
      </c>
      <c r="U22">
        <v>-3.6236687436475299E-3</v>
      </c>
      <c r="V22">
        <v>1.00755667506297E-2</v>
      </c>
      <c r="W22">
        <v>-3.6236687436475299E-3</v>
      </c>
      <c r="X22">
        <v>-1.5825097584203401E-2</v>
      </c>
      <c r="Y22">
        <v>1128.78981412292</v>
      </c>
      <c r="Z22">
        <v>72054.681816044307</v>
      </c>
      <c r="AA22">
        <v>-725.99175633293999</v>
      </c>
      <c r="AB22">
        <v>-261.10229833026801</v>
      </c>
      <c r="AC22">
        <v>725.99175633293999</v>
      </c>
      <c r="AD22">
        <v>-261.10229833026801</v>
      </c>
      <c r="AE22">
        <v>5</v>
      </c>
      <c r="AF22">
        <v>4</v>
      </c>
      <c r="AG22" t="s">
        <v>189</v>
      </c>
      <c r="AH22">
        <v>594.34184277256304</v>
      </c>
      <c r="AI22">
        <v>-725.99175633293999</v>
      </c>
      <c r="AJ22" t="s">
        <v>147</v>
      </c>
    </row>
    <row r="23" spans="1:36" x14ac:dyDescent="0.25">
      <c r="A23" t="s">
        <v>54</v>
      </c>
      <c r="B23" t="s">
        <v>23</v>
      </c>
      <c r="C23" t="s">
        <v>44</v>
      </c>
      <c r="D23" t="s">
        <v>43</v>
      </c>
      <c r="E23" t="s">
        <v>73</v>
      </c>
      <c r="F23">
        <v>4519.18</v>
      </c>
      <c r="G23">
        <v>1136.95</v>
      </c>
      <c r="H23">
        <v>38</v>
      </c>
      <c r="I23">
        <v>18</v>
      </c>
      <c r="J23">
        <v>45548.86</v>
      </c>
      <c r="K23">
        <v>32747.01</v>
      </c>
      <c r="L23">
        <v>248</v>
      </c>
      <c r="M23">
        <v>164.25</v>
      </c>
      <c r="N23">
        <v>0.15322580645161299</v>
      </c>
      <c r="O23">
        <v>0.10958904109589</v>
      </c>
      <c r="P23">
        <v>118.92578947368401</v>
      </c>
      <c r="Q23">
        <v>63.163888888888899</v>
      </c>
      <c r="R23">
        <v>-4.3636765355722501E-2</v>
      </c>
      <c r="S23">
        <v>-0.46887980169460403</v>
      </c>
      <c r="T23">
        <v>-8.5441621863799302</v>
      </c>
      <c r="U23">
        <v>3.5104546544768001</v>
      </c>
      <c r="V23">
        <v>2.4332689716078399</v>
      </c>
      <c r="W23">
        <v>-2.6004385602952902</v>
      </c>
      <c r="X23">
        <v>9.9947772480643096</v>
      </c>
      <c r="Y23">
        <v>3849.6765853698098</v>
      </c>
      <c r="Z23">
        <v>245.07417409294601</v>
      </c>
      <c r="AA23">
        <v>-2093.9534911432502</v>
      </c>
      <c r="AB23">
        <v>860.32177513664101</v>
      </c>
      <c r="AC23">
        <v>596.33138356278403</v>
      </c>
      <c r="AD23">
        <v>-637.30033244382003</v>
      </c>
      <c r="AE23">
        <v>1</v>
      </c>
      <c r="AF23">
        <v>5</v>
      </c>
      <c r="AG23" t="s">
        <v>190</v>
      </c>
      <c r="AH23">
        <v>5072.8117205812196</v>
      </c>
      <c r="AI23">
        <v>-2093.9534911432502</v>
      </c>
      <c r="AJ23" t="s">
        <v>149</v>
      </c>
    </row>
    <row r="24" spans="1:36" x14ac:dyDescent="0.25">
      <c r="A24" t="s">
        <v>54</v>
      </c>
      <c r="B24" t="s">
        <v>23</v>
      </c>
      <c r="C24" t="s">
        <v>99</v>
      </c>
      <c r="D24" t="s">
        <v>100</v>
      </c>
      <c r="E24" t="s">
        <v>76</v>
      </c>
      <c r="F24">
        <v>128.41999999999999</v>
      </c>
      <c r="G24">
        <v>115.47</v>
      </c>
      <c r="H24">
        <v>6</v>
      </c>
      <c r="I24">
        <v>3</v>
      </c>
      <c r="J24">
        <v>45548.86</v>
      </c>
      <c r="K24">
        <v>32747.01</v>
      </c>
      <c r="L24">
        <v>248</v>
      </c>
      <c r="M24">
        <v>164.25</v>
      </c>
      <c r="N24">
        <v>2.4193548387096801E-2</v>
      </c>
      <c r="O24">
        <v>1.8264840182648401E-2</v>
      </c>
      <c r="P24">
        <v>21.4033333333333</v>
      </c>
      <c r="Q24">
        <v>38.49</v>
      </c>
      <c r="R24">
        <v>-5.9287082044483701E-3</v>
      </c>
      <c r="S24">
        <v>0.79831801900015598</v>
      </c>
      <c r="T24">
        <v>0.413387096774194</v>
      </c>
      <c r="U24">
        <v>1.05513003340752</v>
      </c>
      <c r="V24">
        <v>-0.101301860853341</v>
      </c>
      <c r="W24">
        <v>1.3672152693283699</v>
      </c>
      <c r="X24">
        <v>14.736636159039801</v>
      </c>
      <c r="Y24">
        <v>3849.6765853698098</v>
      </c>
      <c r="Z24">
        <v>245.07417409294601</v>
      </c>
      <c r="AA24">
        <v>101.31050132261601</v>
      </c>
      <c r="AB24">
        <v>258.58512149801101</v>
      </c>
      <c r="AC24">
        <v>-24.826469882711201</v>
      </c>
      <c r="AD24">
        <v>335.06915293791599</v>
      </c>
      <c r="AE24">
        <v>2</v>
      </c>
      <c r="AF24">
        <v>5</v>
      </c>
      <c r="AG24" t="s">
        <v>191</v>
      </c>
      <c r="AH24">
        <v>3510.2584342623099</v>
      </c>
      <c r="AI24">
        <v>101.31050132261601</v>
      </c>
      <c r="AJ24" t="s">
        <v>151</v>
      </c>
    </row>
    <row r="25" spans="1:36" x14ac:dyDescent="0.25">
      <c r="A25" t="s">
        <v>54</v>
      </c>
      <c r="B25" t="s">
        <v>23</v>
      </c>
      <c r="C25" t="s">
        <v>56</v>
      </c>
      <c r="D25" t="s">
        <v>55</v>
      </c>
      <c r="E25" t="s">
        <v>76</v>
      </c>
      <c r="F25">
        <v>1446.09</v>
      </c>
      <c r="G25">
        <v>341.25</v>
      </c>
      <c r="H25">
        <v>10</v>
      </c>
      <c r="I25">
        <v>5.25</v>
      </c>
      <c r="J25">
        <v>45548.86</v>
      </c>
      <c r="K25">
        <v>32747.01</v>
      </c>
      <c r="L25">
        <v>248</v>
      </c>
      <c r="M25">
        <v>164.25</v>
      </c>
      <c r="N25">
        <v>4.0322580645161303E-2</v>
      </c>
      <c r="O25">
        <v>3.1963470319634701E-2</v>
      </c>
      <c r="P25">
        <v>144.60900000000001</v>
      </c>
      <c r="Q25">
        <v>65</v>
      </c>
      <c r="R25">
        <v>-8.3591103255265895E-3</v>
      </c>
      <c r="S25">
        <v>-0.55051207047970696</v>
      </c>
      <c r="T25">
        <v>-3.2100403225806402</v>
      </c>
      <c r="U25">
        <v>0.457778050680963</v>
      </c>
      <c r="V25">
        <v>0.665460413904846</v>
      </c>
      <c r="W25">
        <v>-2.08680185799484</v>
      </c>
      <c r="X25">
        <v>19.230840012021599</v>
      </c>
      <c r="Y25">
        <v>3849.6765853698098</v>
      </c>
      <c r="Z25">
        <v>245.074174092947</v>
      </c>
      <c r="AA25">
        <v>-786.69798086150797</v>
      </c>
      <c r="AB25">
        <v>112.189577688516</v>
      </c>
      <c r="AC25">
        <v>163.087161329281</v>
      </c>
      <c r="AD25">
        <v>-511.42124184371102</v>
      </c>
      <c r="AE25">
        <v>3</v>
      </c>
      <c r="AF25">
        <v>5</v>
      </c>
      <c r="AG25" t="s">
        <v>192</v>
      </c>
      <c r="AH25">
        <v>4326.1116248917897</v>
      </c>
      <c r="AI25">
        <v>-786.69798086150797</v>
      </c>
      <c r="AJ25" t="s">
        <v>152</v>
      </c>
    </row>
    <row r="26" spans="1:36" x14ac:dyDescent="0.25">
      <c r="A26" t="s">
        <v>54</v>
      </c>
      <c r="B26" t="s">
        <v>23</v>
      </c>
      <c r="C26" t="s">
        <v>48</v>
      </c>
      <c r="D26" t="s">
        <v>47</v>
      </c>
      <c r="E26" t="s">
        <v>106</v>
      </c>
      <c r="F26">
        <v>12452.38</v>
      </c>
      <c r="G26">
        <v>6463.48</v>
      </c>
      <c r="H26">
        <v>65</v>
      </c>
      <c r="I26">
        <v>37.5</v>
      </c>
      <c r="J26">
        <v>45548.86</v>
      </c>
      <c r="K26">
        <v>32747.01</v>
      </c>
      <c r="L26">
        <v>248</v>
      </c>
      <c r="M26">
        <v>164.25</v>
      </c>
      <c r="N26">
        <v>0.26209677419354799</v>
      </c>
      <c r="O26">
        <v>0.22831050228310501</v>
      </c>
      <c r="P26">
        <v>191.57507692307701</v>
      </c>
      <c r="Q26">
        <v>172.359466666667</v>
      </c>
      <c r="R26">
        <v>-3.3786271910443401E-2</v>
      </c>
      <c r="S26">
        <v>-0.100303288742125</v>
      </c>
      <c r="T26">
        <v>-5.0363494623656004</v>
      </c>
      <c r="U26">
        <v>0.263461669487144</v>
      </c>
      <c r="V26">
        <v>0.64922383304818199</v>
      </c>
      <c r="W26">
        <v>-4.12366395983027</v>
      </c>
      <c r="X26">
        <v>14.5254991728701</v>
      </c>
      <c r="Y26">
        <v>3849.6765853698098</v>
      </c>
      <c r="Z26">
        <v>245.074174092947</v>
      </c>
      <c r="AA26">
        <v>-1234.27918493271</v>
      </c>
      <c r="AB26">
        <v>64.567651054710694</v>
      </c>
      <c r="AC26">
        <v>159.10799468574101</v>
      </c>
      <c r="AD26">
        <v>-1010.60353919226</v>
      </c>
      <c r="AE26">
        <v>4</v>
      </c>
      <c r="AF26">
        <v>5</v>
      </c>
      <c r="AG26" t="s">
        <v>193</v>
      </c>
      <c r="AH26">
        <v>4794.10389801164</v>
      </c>
      <c r="AI26">
        <v>-1234.27918493271</v>
      </c>
      <c r="AJ26" t="s">
        <v>154</v>
      </c>
    </row>
    <row r="27" spans="1:36" x14ac:dyDescent="0.25">
      <c r="A27" t="s">
        <v>54</v>
      </c>
      <c r="B27" t="s">
        <v>23</v>
      </c>
      <c r="C27" t="s">
        <v>96</v>
      </c>
      <c r="D27" t="s">
        <v>109</v>
      </c>
      <c r="E27" t="s">
        <v>110</v>
      </c>
      <c r="F27">
        <v>2891.84</v>
      </c>
      <c r="G27">
        <v>114.65</v>
      </c>
      <c r="H27">
        <v>11</v>
      </c>
      <c r="I27">
        <v>3.75</v>
      </c>
      <c r="J27">
        <v>45548.86</v>
      </c>
      <c r="K27">
        <v>32747.01</v>
      </c>
      <c r="L27">
        <v>248</v>
      </c>
      <c r="M27">
        <v>164.25</v>
      </c>
      <c r="N27">
        <v>4.4354838709677401E-2</v>
      </c>
      <c r="O27">
        <v>2.2831050228310501E-2</v>
      </c>
      <c r="P27">
        <v>262.89454545454498</v>
      </c>
      <c r="Q27">
        <v>30.573333333333299</v>
      </c>
      <c r="R27">
        <v>-2.15237884813669E-2</v>
      </c>
      <c r="S27">
        <v>-0.88370495370882696</v>
      </c>
      <c r="T27">
        <v>-10.304569892473101</v>
      </c>
      <c r="U27">
        <v>-1.36722499634814</v>
      </c>
      <c r="V27">
        <v>5.0004326294317503</v>
      </c>
      <c r="W27">
        <v>-6.6713622593895199</v>
      </c>
      <c r="X27">
        <v>3.60294296816304</v>
      </c>
      <c r="Y27">
        <v>3849.6765853698098</v>
      </c>
      <c r="Z27">
        <v>245.07417409294601</v>
      </c>
      <c r="AA27">
        <v>-2525.3839557808901</v>
      </c>
      <c r="AB27">
        <v>-335.07153677925299</v>
      </c>
      <c r="AC27">
        <v>1225.4768967654099</v>
      </c>
      <c r="AD27">
        <v>-1634.9785957947399</v>
      </c>
      <c r="AE27">
        <v>5</v>
      </c>
      <c r="AF27">
        <v>5</v>
      </c>
      <c r="AG27" t="s">
        <v>194</v>
      </c>
      <c r="AH27">
        <v>3691.7798532380002</v>
      </c>
      <c r="AI27">
        <v>-2525.3839557808901</v>
      </c>
      <c r="AJ27" t="s">
        <v>157</v>
      </c>
    </row>
    <row r="28" spans="1:36" x14ac:dyDescent="0.25">
      <c r="A28" t="s">
        <v>158</v>
      </c>
      <c r="B28" t="s">
        <v>159</v>
      </c>
      <c r="C28" t="s">
        <v>44</v>
      </c>
      <c r="D28" t="s">
        <v>43</v>
      </c>
      <c r="E28" t="s">
        <v>74</v>
      </c>
      <c r="F28">
        <v>38393.370000000003</v>
      </c>
      <c r="G28">
        <v>30301.31</v>
      </c>
      <c r="H28">
        <v>1</v>
      </c>
      <c r="I28">
        <v>1</v>
      </c>
      <c r="J28">
        <v>45548.86</v>
      </c>
      <c r="K28">
        <v>32747.01</v>
      </c>
      <c r="L28">
        <v>1</v>
      </c>
      <c r="M28">
        <v>1</v>
      </c>
      <c r="N28">
        <v>1</v>
      </c>
      <c r="O28">
        <v>1</v>
      </c>
      <c r="P28">
        <v>38393.370000000003</v>
      </c>
      <c r="Q28">
        <v>30301.31</v>
      </c>
      <c r="R28">
        <v>0</v>
      </c>
      <c r="S28">
        <v>-0.21076711942713</v>
      </c>
      <c r="T28">
        <v>-8092.06</v>
      </c>
      <c r="U28">
        <v>0</v>
      </c>
      <c r="V28">
        <v>0</v>
      </c>
      <c r="W28">
        <v>-8092.06</v>
      </c>
      <c r="X28">
        <v>-12801.85</v>
      </c>
      <c r="Y28">
        <v>-12952.8821951137</v>
      </c>
      <c r="Z28">
        <v>1.01179768510909</v>
      </c>
      <c r="AA28">
        <v>-8187.5275757638201</v>
      </c>
      <c r="AB28">
        <v>0</v>
      </c>
      <c r="AC28">
        <v>0</v>
      </c>
      <c r="AD28">
        <v>-8187.5275757638201</v>
      </c>
      <c r="AE28">
        <v>1</v>
      </c>
      <c r="AF28">
        <v>6</v>
      </c>
      <c r="AG28" t="s">
        <v>195</v>
      </c>
      <c r="AH28">
        <v>257.77569623524198</v>
      </c>
      <c r="AI28">
        <v>-8187.5275757638201</v>
      </c>
      <c r="AJ28" t="s">
        <v>161</v>
      </c>
    </row>
    <row r="29" spans="1:36" x14ac:dyDescent="0.25">
      <c r="A29" t="s">
        <v>158</v>
      </c>
      <c r="B29" t="s">
        <v>159</v>
      </c>
      <c r="C29" t="s">
        <v>99</v>
      </c>
      <c r="D29" t="s">
        <v>100</v>
      </c>
      <c r="E29" t="s">
        <v>138</v>
      </c>
      <c r="F29">
        <v>45420.44</v>
      </c>
      <c r="G29">
        <v>32631.54</v>
      </c>
      <c r="H29">
        <v>1</v>
      </c>
      <c r="I29">
        <v>1</v>
      </c>
      <c r="J29">
        <v>45548.86</v>
      </c>
      <c r="K29">
        <v>32747.01</v>
      </c>
      <c r="L29">
        <v>1</v>
      </c>
      <c r="M29">
        <v>1</v>
      </c>
      <c r="N29">
        <v>1</v>
      </c>
      <c r="O29">
        <v>1</v>
      </c>
      <c r="P29">
        <v>45420.44</v>
      </c>
      <c r="Q29">
        <v>32631.54</v>
      </c>
      <c r="R29">
        <v>0</v>
      </c>
      <c r="S29">
        <v>-0.28156706540051102</v>
      </c>
      <c r="T29">
        <v>-12788.9</v>
      </c>
      <c r="U29">
        <v>0</v>
      </c>
      <c r="V29">
        <v>0</v>
      </c>
      <c r="W29">
        <v>-12788.9</v>
      </c>
      <c r="X29">
        <v>-12801.85</v>
      </c>
      <c r="Y29">
        <v>-12952.8821951137</v>
      </c>
      <c r="Z29">
        <v>1.01179768510909</v>
      </c>
      <c r="AA29">
        <v>-12939.7794150916</v>
      </c>
      <c r="AB29">
        <v>0</v>
      </c>
      <c r="AC29">
        <v>0</v>
      </c>
      <c r="AD29">
        <v>-12939.7794150916</v>
      </c>
      <c r="AE29">
        <v>2</v>
      </c>
      <c r="AF29">
        <v>6</v>
      </c>
      <c r="AG29" t="s">
        <v>196</v>
      </c>
      <c r="AH29">
        <v>-13.1027800221626</v>
      </c>
      <c r="AI29">
        <v>-12939.7794150916</v>
      </c>
      <c r="AJ29" t="s">
        <v>163</v>
      </c>
    </row>
    <row r="30" spans="1:36" x14ac:dyDescent="0.25">
      <c r="A30" t="s">
        <v>158</v>
      </c>
      <c r="B30" t="s">
        <v>159</v>
      </c>
      <c r="C30" t="s">
        <v>56</v>
      </c>
      <c r="D30" t="s">
        <v>55</v>
      </c>
      <c r="E30" t="s">
        <v>141</v>
      </c>
      <c r="F30">
        <v>35804.11</v>
      </c>
      <c r="G30">
        <v>25912.959999999999</v>
      </c>
      <c r="H30">
        <v>1</v>
      </c>
      <c r="I30">
        <v>1</v>
      </c>
      <c r="J30">
        <v>45548.86</v>
      </c>
      <c r="K30">
        <v>32747.01</v>
      </c>
      <c r="L30">
        <v>1</v>
      </c>
      <c r="M30">
        <v>1</v>
      </c>
      <c r="N30">
        <v>1</v>
      </c>
      <c r="O30">
        <v>1</v>
      </c>
      <c r="P30">
        <v>35804.11</v>
      </c>
      <c r="Q30">
        <v>25912.959999999999</v>
      </c>
      <c r="R30">
        <v>0</v>
      </c>
      <c r="S30">
        <v>-0.27625739056214499</v>
      </c>
      <c r="T30">
        <v>-9891.15</v>
      </c>
      <c r="U30">
        <v>0</v>
      </c>
      <c r="V30">
        <v>0</v>
      </c>
      <c r="W30">
        <v>-9891.15</v>
      </c>
      <c r="X30">
        <v>-12801.85</v>
      </c>
      <c r="Y30">
        <v>-12952.8821951137</v>
      </c>
      <c r="Z30">
        <v>1.01179768510908</v>
      </c>
      <c r="AA30">
        <v>-10007.8426730667</v>
      </c>
      <c r="AB30">
        <v>0</v>
      </c>
      <c r="AC30">
        <v>0</v>
      </c>
      <c r="AD30">
        <v>-10007.8426730667</v>
      </c>
      <c r="AE30">
        <v>3</v>
      </c>
      <c r="AF30">
        <v>6</v>
      </c>
      <c r="AG30" t="s">
        <v>197</v>
      </c>
      <c r="AH30">
        <v>-1117.8745544159201</v>
      </c>
      <c r="AI30">
        <v>-10007.8426730667</v>
      </c>
      <c r="AJ30" t="s">
        <v>165</v>
      </c>
    </row>
    <row r="31" spans="1:36" x14ac:dyDescent="0.25">
      <c r="A31" t="s">
        <v>158</v>
      </c>
      <c r="B31" t="s">
        <v>159</v>
      </c>
      <c r="C31" t="s">
        <v>48</v>
      </c>
      <c r="D31" t="s">
        <v>47</v>
      </c>
      <c r="E31" t="s">
        <v>119</v>
      </c>
      <c r="F31">
        <v>33096.480000000003</v>
      </c>
      <c r="G31">
        <v>26283.53</v>
      </c>
      <c r="H31">
        <v>1</v>
      </c>
      <c r="I31">
        <v>1</v>
      </c>
      <c r="J31">
        <v>45548.86</v>
      </c>
      <c r="K31">
        <v>32747.01</v>
      </c>
      <c r="L31">
        <v>1</v>
      </c>
      <c r="M31">
        <v>1</v>
      </c>
      <c r="N31">
        <v>1</v>
      </c>
      <c r="O31">
        <v>1</v>
      </c>
      <c r="P31">
        <v>33096.480000000003</v>
      </c>
      <c r="Q31">
        <v>26283.53</v>
      </c>
      <c r="R31">
        <v>0</v>
      </c>
      <c r="S31">
        <v>-0.205851196260146</v>
      </c>
      <c r="T31">
        <v>-6812.95</v>
      </c>
      <c r="U31">
        <v>0</v>
      </c>
      <c r="V31">
        <v>0</v>
      </c>
      <c r="W31">
        <v>-6812.95</v>
      </c>
      <c r="X31">
        <v>-12801.85</v>
      </c>
      <c r="Y31">
        <v>-12952.8821951137</v>
      </c>
      <c r="Z31">
        <v>1.01179768510908</v>
      </c>
      <c r="AA31">
        <v>-6893.3270387639404</v>
      </c>
      <c r="AB31">
        <v>0</v>
      </c>
      <c r="AC31">
        <v>0</v>
      </c>
      <c r="AD31">
        <v>-6893.3270387639404</v>
      </c>
      <c r="AE31">
        <v>4</v>
      </c>
      <c r="AF31">
        <v>6</v>
      </c>
      <c r="AG31" t="s">
        <v>198</v>
      </c>
      <c r="AH31">
        <v>-6059.5551563498002</v>
      </c>
      <c r="AI31">
        <v>-6893.3270387639404</v>
      </c>
      <c r="AJ31" t="s">
        <v>167</v>
      </c>
    </row>
    <row r="32" spans="1:36" x14ac:dyDescent="0.25">
      <c r="A32" t="s">
        <v>158</v>
      </c>
      <c r="B32" t="s">
        <v>159</v>
      </c>
      <c r="C32" t="s">
        <v>96</v>
      </c>
      <c r="D32" t="s">
        <v>109</v>
      </c>
      <c r="E32" t="s">
        <v>145</v>
      </c>
      <c r="F32">
        <v>21507.08</v>
      </c>
      <c r="G32">
        <v>17713.150000000001</v>
      </c>
      <c r="H32">
        <v>1</v>
      </c>
      <c r="I32">
        <v>1</v>
      </c>
      <c r="J32">
        <v>45548.86</v>
      </c>
      <c r="K32">
        <v>32747.01</v>
      </c>
      <c r="L32">
        <v>1</v>
      </c>
      <c r="M32">
        <v>1</v>
      </c>
      <c r="N32">
        <v>1</v>
      </c>
      <c r="O32">
        <v>1</v>
      </c>
      <c r="P32">
        <v>21507.08</v>
      </c>
      <c r="Q32">
        <v>17713.150000000001</v>
      </c>
      <c r="R32">
        <v>0</v>
      </c>
      <c r="S32">
        <v>-0.176403770293317</v>
      </c>
      <c r="T32">
        <v>-3793.93</v>
      </c>
      <c r="U32">
        <v>0</v>
      </c>
      <c r="V32">
        <v>0</v>
      </c>
      <c r="W32">
        <v>-3793.93</v>
      </c>
      <c r="X32">
        <v>-12801.85</v>
      </c>
      <c r="Y32">
        <v>-12952.8821951137</v>
      </c>
      <c r="Z32">
        <v>1.01179768510909</v>
      </c>
      <c r="AA32">
        <v>-3838.6895914659099</v>
      </c>
      <c r="AB32">
        <v>0</v>
      </c>
      <c r="AC32">
        <v>0</v>
      </c>
      <c r="AD32">
        <v>-3838.6895914659099</v>
      </c>
      <c r="AE32">
        <v>5</v>
      </c>
      <c r="AF32">
        <v>6</v>
      </c>
      <c r="AG32" t="s">
        <v>199</v>
      </c>
      <c r="AH32">
        <v>520.06401014607002</v>
      </c>
      <c r="AI32">
        <v>-3838.6895914659099</v>
      </c>
      <c r="AJ32" t="s">
        <v>170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00FF"/>
  </sheetPr>
  <dimension ref="A1:R8"/>
  <sheetViews>
    <sheetView workbookViewId="0">
      <selection activeCell="A2" sqref="A2:R8"/>
    </sheetView>
  </sheetViews>
  <sheetFormatPr defaultRowHeight="15" x14ac:dyDescent="0.25"/>
  <sheetData>
    <row r="1" spans="1:18" x14ac:dyDescent="0.25">
      <c r="A1" t="s">
        <v>205</v>
      </c>
      <c r="B1" t="s">
        <v>206</v>
      </c>
      <c r="C1" t="s">
        <v>207</v>
      </c>
      <c r="D1" t="s">
        <v>208</v>
      </c>
      <c r="E1" t="s">
        <v>209</v>
      </c>
      <c r="F1" t="s">
        <v>210</v>
      </c>
      <c r="G1" t="s">
        <v>211</v>
      </c>
      <c r="H1" t="s">
        <v>212</v>
      </c>
      <c r="I1" t="s">
        <v>213</v>
      </c>
      <c r="J1" t="s">
        <v>214</v>
      </c>
      <c r="K1" t="s">
        <v>215</v>
      </c>
      <c r="L1" t="s">
        <v>216</v>
      </c>
      <c r="M1" t="s">
        <v>217</v>
      </c>
      <c r="N1" t="s">
        <v>218</v>
      </c>
      <c r="O1" t="s">
        <v>219</v>
      </c>
      <c r="P1" t="s">
        <v>220</v>
      </c>
      <c r="Q1" t="s">
        <v>221</v>
      </c>
      <c r="R1" t="s">
        <v>222</v>
      </c>
    </row>
    <row r="2" spans="1:18" x14ac:dyDescent="0.25">
      <c r="A2" t="s">
        <v>223</v>
      </c>
      <c r="B2" t="s">
        <v>224</v>
      </c>
      <c r="C2">
        <v>45548.86</v>
      </c>
      <c r="D2">
        <v>1</v>
      </c>
      <c r="G2">
        <v>45548.86</v>
      </c>
      <c r="I2">
        <v>45548.86</v>
      </c>
      <c r="L2">
        <v>45548.86</v>
      </c>
      <c r="M2">
        <v>45548.86</v>
      </c>
    </row>
    <row r="3" spans="1:18" x14ac:dyDescent="0.25">
      <c r="A3" t="s">
        <v>225</v>
      </c>
      <c r="B3" t="s">
        <v>226</v>
      </c>
      <c r="C3">
        <v>9180</v>
      </c>
      <c r="D3">
        <v>1</v>
      </c>
      <c r="E3">
        <v>8105</v>
      </c>
      <c r="F3">
        <v>1</v>
      </c>
      <c r="G3">
        <v>9180</v>
      </c>
      <c r="H3">
        <v>8105</v>
      </c>
      <c r="I3">
        <v>-5396.8081089770803</v>
      </c>
      <c r="J3">
        <v>-0.117102396514161</v>
      </c>
      <c r="K3">
        <v>-5396.8081089770803</v>
      </c>
      <c r="L3">
        <v>-5396.8081089770803</v>
      </c>
      <c r="N3">
        <v>40152.0518910229</v>
      </c>
      <c r="O3">
        <v>0</v>
      </c>
      <c r="P3">
        <v>0</v>
      </c>
      <c r="Q3">
        <v>5396.8081089770803</v>
      </c>
      <c r="R3">
        <v>0</v>
      </c>
    </row>
    <row r="4" spans="1:18" x14ac:dyDescent="0.25">
      <c r="A4" t="s">
        <v>227</v>
      </c>
      <c r="B4" t="s">
        <v>228</v>
      </c>
      <c r="C4">
        <v>9635</v>
      </c>
      <c r="D4">
        <v>9180</v>
      </c>
      <c r="E4">
        <v>8491</v>
      </c>
      <c r="F4">
        <v>8105</v>
      </c>
      <c r="G4">
        <v>1.0495642701525101</v>
      </c>
      <c r="H4">
        <v>1.04762492288711</v>
      </c>
      <c r="I4">
        <v>-85.156487136903493</v>
      </c>
      <c r="J4">
        <v>-1.84776418229093E-3</v>
      </c>
      <c r="K4">
        <v>-85.156487136903493</v>
      </c>
      <c r="L4">
        <v>-85.156487136903493</v>
      </c>
      <c r="N4">
        <v>40066.895403886003</v>
      </c>
      <c r="O4">
        <v>0</v>
      </c>
      <c r="P4">
        <v>0</v>
      </c>
      <c r="Q4">
        <v>85.156487136903493</v>
      </c>
      <c r="R4">
        <v>0</v>
      </c>
    </row>
    <row r="5" spans="1:18" x14ac:dyDescent="0.25">
      <c r="A5" t="s">
        <v>229</v>
      </c>
      <c r="B5" t="s">
        <v>230</v>
      </c>
      <c r="C5">
        <v>397</v>
      </c>
      <c r="D5">
        <v>9635</v>
      </c>
      <c r="E5">
        <v>256.5</v>
      </c>
      <c r="F5">
        <v>8491</v>
      </c>
      <c r="G5">
        <v>4.1203943954333203E-2</v>
      </c>
      <c r="H5">
        <v>3.0208456012248301E-2</v>
      </c>
      <c r="I5">
        <v>-12298.3518033788</v>
      </c>
      <c r="J5">
        <v>-0.26685523003019601</v>
      </c>
      <c r="K5">
        <v>-12298.3518033788</v>
      </c>
      <c r="L5">
        <v>-12298.3518033788</v>
      </c>
      <c r="N5">
        <v>27768.543600507201</v>
      </c>
      <c r="O5">
        <v>0</v>
      </c>
      <c r="P5">
        <v>0</v>
      </c>
      <c r="Q5">
        <v>12298.3518033788</v>
      </c>
      <c r="R5">
        <v>0</v>
      </c>
    </row>
    <row r="6" spans="1:18" x14ac:dyDescent="0.25">
      <c r="A6" t="s">
        <v>231</v>
      </c>
      <c r="B6" t="s">
        <v>232</v>
      </c>
      <c r="C6">
        <v>248</v>
      </c>
      <c r="D6">
        <v>397</v>
      </c>
      <c r="E6">
        <v>164.25</v>
      </c>
      <c r="F6">
        <v>256.5</v>
      </c>
      <c r="G6">
        <v>0.62468513853904295</v>
      </c>
      <c r="H6">
        <v>0.640350877192982</v>
      </c>
      <c r="I6">
        <v>1128.78981412292</v>
      </c>
      <c r="J6">
        <v>2.5077815506507201E-2</v>
      </c>
      <c r="K6">
        <v>1128.78981412292</v>
      </c>
      <c r="L6">
        <v>1128.78981412292</v>
      </c>
      <c r="N6">
        <v>27768.543600507201</v>
      </c>
      <c r="O6">
        <v>1128.78981412292</v>
      </c>
      <c r="P6">
        <v>0</v>
      </c>
      <c r="Q6">
        <v>0</v>
      </c>
      <c r="R6">
        <v>0</v>
      </c>
    </row>
    <row r="7" spans="1:18" x14ac:dyDescent="0.25">
      <c r="A7" t="s">
        <v>233</v>
      </c>
      <c r="B7" t="s">
        <v>234</v>
      </c>
      <c r="C7">
        <v>45548.86</v>
      </c>
      <c r="D7">
        <v>248</v>
      </c>
      <c r="E7">
        <v>32747.01</v>
      </c>
      <c r="F7">
        <v>164.25</v>
      </c>
      <c r="G7">
        <v>183.66475806451601</v>
      </c>
      <c r="H7">
        <v>199.37296803653001</v>
      </c>
      <c r="I7">
        <v>3849.6765853698098</v>
      </c>
      <c r="J7">
        <v>8.5526532893676704E-2</v>
      </c>
      <c r="K7">
        <v>3849.6765853698098</v>
      </c>
      <c r="L7">
        <v>3849.6765853698098</v>
      </c>
      <c r="N7">
        <v>28897.333414630099</v>
      </c>
      <c r="O7">
        <v>3849.6765853698098</v>
      </c>
      <c r="P7">
        <v>0</v>
      </c>
      <c r="Q7">
        <v>0</v>
      </c>
      <c r="R7">
        <v>0</v>
      </c>
    </row>
    <row r="8" spans="1:18" x14ac:dyDescent="0.25">
      <c r="A8" t="s">
        <v>235</v>
      </c>
      <c r="B8" t="s">
        <v>236</v>
      </c>
      <c r="C8">
        <v>45548.86</v>
      </c>
      <c r="D8">
        <v>1</v>
      </c>
      <c r="E8">
        <v>32747.01</v>
      </c>
      <c r="F8">
        <v>1</v>
      </c>
      <c r="G8">
        <v>45548.86</v>
      </c>
      <c r="H8">
        <v>32747.01</v>
      </c>
      <c r="I8">
        <v>-12952.8821951137</v>
      </c>
      <c r="J8">
        <v>-0.281057528113766</v>
      </c>
      <c r="K8">
        <v>-12952.8821951137</v>
      </c>
      <c r="L8">
        <v>32747.01</v>
      </c>
      <c r="M8">
        <v>32747.01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S8"/>
  <sheetViews>
    <sheetView workbookViewId="0">
      <selection activeCell="A2" sqref="A2:S8"/>
    </sheetView>
  </sheetViews>
  <sheetFormatPr defaultRowHeight="15" x14ac:dyDescent="0.25"/>
  <sheetData>
    <row r="1" spans="1:19" x14ac:dyDescent="0.25">
      <c r="A1" t="s">
        <v>237</v>
      </c>
      <c r="B1" t="s">
        <v>206</v>
      </c>
      <c r="C1" t="s">
        <v>238</v>
      </c>
      <c r="D1" t="s">
        <v>239</v>
      </c>
      <c r="E1" t="s">
        <v>240</v>
      </c>
      <c r="F1" t="s">
        <v>213</v>
      </c>
      <c r="G1" t="s">
        <v>241</v>
      </c>
      <c r="H1" t="s">
        <v>242</v>
      </c>
      <c r="I1" t="s">
        <v>243</v>
      </c>
      <c r="J1" t="s">
        <v>244</v>
      </c>
      <c r="K1" t="s">
        <v>245</v>
      </c>
      <c r="L1" t="s">
        <v>246</v>
      </c>
      <c r="M1" t="s">
        <v>247</v>
      </c>
      <c r="N1" t="s">
        <v>248</v>
      </c>
      <c r="O1" t="s">
        <v>249</v>
      </c>
      <c r="P1" t="s">
        <v>250</v>
      </c>
      <c r="Q1" t="s">
        <v>251</v>
      </c>
      <c r="R1" t="s">
        <v>252</v>
      </c>
      <c r="S1" t="s">
        <v>253</v>
      </c>
    </row>
    <row r="2" spans="1:19" x14ac:dyDescent="0.25">
      <c r="A2">
        <v>1</v>
      </c>
      <c r="B2" t="s">
        <v>224</v>
      </c>
      <c r="C2" t="s">
        <v>254</v>
      </c>
      <c r="D2">
        <v>0</v>
      </c>
      <c r="E2">
        <v>45548.86</v>
      </c>
      <c r="F2">
        <v>45548.86</v>
      </c>
      <c r="N2">
        <v>0</v>
      </c>
      <c r="S2">
        <v>45548.86</v>
      </c>
    </row>
    <row r="3" spans="1:19" x14ac:dyDescent="0.25">
      <c r="A3">
        <v>2</v>
      </c>
      <c r="B3" t="s">
        <v>226</v>
      </c>
      <c r="C3" t="s">
        <v>255</v>
      </c>
      <c r="D3">
        <v>45548.86</v>
      </c>
      <c r="E3">
        <v>40152.0518910229</v>
      </c>
      <c r="F3">
        <v>-5396.8081089770803</v>
      </c>
      <c r="G3" t="s">
        <v>256</v>
      </c>
      <c r="H3" t="s">
        <v>257</v>
      </c>
      <c r="I3" t="s">
        <v>258</v>
      </c>
      <c r="J3">
        <v>0</v>
      </c>
      <c r="K3" t="s">
        <v>259</v>
      </c>
      <c r="L3">
        <v>-4056.3915833055598</v>
      </c>
      <c r="M3">
        <v>-5396.8081089770803</v>
      </c>
      <c r="N3">
        <v>45548.86</v>
      </c>
      <c r="O3">
        <v>45548.86</v>
      </c>
      <c r="P3">
        <v>45548.86</v>
      </c>
      <c r="Q3">
        <v>41492.468416694399</v>
      </c>
      <c r="R3">
        <v>41492.468416694399</v>
      </c>
      <c r="S3">
        <v>40152.0518910229</v>
      </c>
    </row>
    <row r="4" spans="1:19" x14ac:dyDescent="0.25">
      <c r="A4">
        <v>3</v>
      </c>
      <c r="B4" t="s">
        <v>228</v>
      </c>
      <c r="C4" t="s">
        <v>255</v>
      </c>
      <c r="D4">
        <v>40152.0518910229</v>
      </c>
      <c r="E4">
        <v>40066.895403886003</v>
      </c>
      <c r="F4">
        <v>-85.156487136903493</v>
      </c>
      <c r="G4" t="s">
        <v>260</v>
      </c>
      <c r="H4" t="s">
        <v>261</v>
      </c>
      <c r="I4" t="s">
        <v>262</v>
      </c>
      <c r="J4">
        <v>21.6294926038195</v>
      </c>
      <c r="K4" t="s">
        <v>263</v>
      </c>
      <c r="L4">
        <v>-237.262762684298</v>
      </c>
      <c r="M4">
        <v>-85.156487136899003</v>
      </c>
      <c r="N4">
        <v>40152.0518910229</v>
      </c>
      <c r="O4">
        <v>40173.681383626703</v>
      </c>
      <c r="P4">
        <v>40173.681383626703</v>
      </c>
      <c r="Q4">
        <v>39936.418620942401</v>
      </c>
      <c r="R4">
        <v>39936.418620942401</v>
      </c>
      <c r="S4">
        <v>40066.895403886003</v>
      </c>
    </row>
    <row r="5" spans="1:19" x14ac:dyDescent="0.25">
      <c r="A5">
        <v>4</v>
      </c>
      <c r="B5" t="s">
        <v>230</v>
      </c>
      <c r="C5" t="s">
        <v>255</v>
      </c>
      <c r="D5">
        <v>40066.895403886003</v>
      </c>
      <c r="E5">
        <v>27768.543600507201</v>
      </c>
      <c r="F5">
        <v>-12298.3518033788</v>
      </c>
      <c r="G5" t="s">
        <v>264</v>
      </c>
      <c r="H5" t="s">
        <v>257</v>
      </c>
      <c r="I5" t="s">
        <v>258</v>
      </c>
      <c r="J5">
        <v>-3445.2238517819101</v>
      </c>
      <c r="K5" t="s">
        <v>265</v>
      </c>
      <c r="L5">
        <v>-5366.6474328213299</v>
      </c>
      <c r="M5">
        <v>-12298.3518033788</v>
      </c>
      <c r="N5">
        <v>40066.895403886003</v>
      </c>
      <c r="O5">
        <v>36621.671552104097</v>
      </c>
      <c r="P5">
        <v>36621.671552104097</v>
      </c>
      <c r="Q5">
        <v>31255.0241192828</v>
      </c>
      <c r="R5">
        <v>31255.0241192828</v>
      </c>
      <c r="S5">
        <v>27768.543600507201</v>
      </c>
    </row>
    <row r="6" spans="1:19" x14ac:dyDescent="0.25">
      <c r="A6">
        <v>5</v>
      </c>
      <c r="B6" t="s">
        <v>232</v>
      </c>
      <c r="C6" t="s">
        <v>266</v>
      </c>
      <c r="D6">
        <v>27768.543600507201</v>
      </c>
      <c r="E6">
        <v>28897.333414630099</v>
      </c>
      <c r="F6">
        <v>1128.78981412292</v>
      </c>
      <c r="G6" t="s">
        <v>267</v>
      </c>
      <c r="H6" t="s">
        <v>261</v>
      </c>
      <c r="I6" t="s">
        <v>262</v>
      </c>
      <c r="J6">
        <v>-21.379550312295098</v>
      </c>
      <c r="K6" t="s">
        <v>268</v>
      </c>
      <c r="L6">
        <v>1840.90766784424</v>
      </c>
      <c r="M6">
        <v>1128.78981412293</v>
      </c>
      <c r="N6">
        <v>27768.543600507201</v>
      </c>
      <c r="O6">
        <v>27747.1640501949</v>
      </c>
      <c r="P6">
        <v>27747.1640501949</v>
      </c>
      <c r="Q6">
        <v>29588.071718039198</v>
      </c>
      <c r="R6">
        <v>29588.071718039198</v>
      </c>
      <c r="S6">
        <v>28897.333414630099</v>
      </c>
    </row>
    <row r="7" spans="1:19" x14ac:dyDescent="0.25">
      <c r="A7">
        <v>6</v>
      </c>
      <c r="B7" t="s">
        <v>234</v>
      </c>
      <c r="C7" t="s">
        <v>266</v>
      </c>
      <c r="D7">
        <v>28897.333414630099</v>
      </c>
      <c r="E7">
        <v>32747.0099999999</v>
      </c>
      <c r="F7">
        <v>3849.6765853698098</v>
      </c>
      <c r="G7" t="s">
        <v>269</v>
      </c>
      <c r="H7" t="s">
        <v>270</v>
      </c>
      <c r="I7" t="s">
        <v>271</v>
      </c>
      <c r="J7">
        <v>-113.628497187813</v>
      </c>
      <c r="K7" t="s">
        <v>272</v>
      </c>
      <c r="L7">
        <v>4326.1116248917897</v>
      </c>
      <c r="M7">
        <v>3849.6765853698098</v>
      </c>
      <c r="N7">
        <v>28897.333414630099</v>
      </c>
      <c r="O7">
        <v>28783.704917442301</v>
      </c>
      <c r="P7">
        <v>28783.704917442301</v>
      </c>
      <c r="Q7">
        <v>33109.816542334098</v>
      </c>
      <c r="R7">
        <v>33109.816542334098</v>
      </c>
      <c r="S7">
        <v>32747.0099999999</v>
      </c>
    </row>
    <row r="8" spans="1:19" x14ac:dyDescent="0.25">
      <c r="A8">
        <v>7</v>
      </c>
      <c r="B8" t="s">
        <v>236</v>
      </c>
      <c r="C8" t="s">
        <v>254</v>
      </c>
      <c r="D8">
        <v>32747.0099999999</v>
      </c>
      <c r="E8">
        <v>0</v>
      </c>
      <c r="F8">
        <v>-12952.8821951137</v>
      </c>
      <c r="N8">
        <v>32747.0099999999</v>
      </c>
      <c r="S8">
        <v>0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00FF"/>
  </sheetPr>
  <dimension ref="A1:S5"/>
  <sheetViews>
    <sheetView workbookViewId="0">
      <selection activeCell="A2" sqref="A2:S5"/>
    </sheetView>
  </sheetViews>
  <sheetFormatPr defaultRowHeight="15" x14ac:dyDescent="0.25"/>
  <sheetData>
    <row r="1" spans="1:19" x14ac:dyDescent="0.25">
      <c r="A1" t="s">
        <v>273</v>
      </c>
      <c r="B1" t="s">
        <v>274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211</v>
      </c>
      <c r="J1" t="s">
        <v>212</v>
      </c>
      <c r="K1" t="s">
        <v>281</v>
      </c>
      <c r="L1" t="s">
        <v>282</v>
      </c>
      <c r="M1" t="s">
        <v>283</v>
      </c>
      <c r="N1" t="s">
        <v>284</v>
      </c>
      <c r="O1" t="s">
        <v>285</v>
      </c>
      <c r="P1" t="s">
        <v>286</v>
      </c>
      <c r="Q1" t="s">
        <v>244</v>
      </c>
      <c r="R1" t="s">
        <v>287</v>
      </c>
      <c r="S1" t="s">
        <v>247</v>
      </c>
    </row>
    <row r="2" spans="1:19" x14ac:dyDescent="0.25">
      <c r="A2" t="s">
        <v>288</v>
      </c>
      <c r="B2">
        <v>100</v>
      </c>
      <c r="C2">
        <v>4191</v>
      </c>
      <c r="D2">
        <v>52.5</v>
      </c>
      <c r="E2">
        <v>4092</v>
      </c>
      <c r="F2">
        <v>0.43497664763881699</v>
      </c>
      <c r="G2">
        <v>0.48192203509598402</v>
      </c>
      <c r="H2">
        <v>4.6945387457167101E-2</v>
      </c>
      <c r="I2">
        <v>2.3860653781913599E-2</v>
      </c>
      <c r="J2">
        <v>1.2829912023460399E-2</v>
      </c>
      <c r="K2">
        <v>-0.46229838709677401</v>
      </c>
      <c r="L2">
        <v>-4.7981150710614904E-3</v>
      </c>
      <c r="M2">
        <v>-2.98000035204529E-4</v>
      </c>
      <c r="N2">
        <v>-5.1784244579053905E-4</v>
      </c>
      <c r="O2">
        <v>-5.6139575520565499E-3</v>
      </c>
      <c r="P2">
        <v>-5366.6474328213299</v>
      </c>
      <c r="Q2">
        <v>-333.31028960863398</v>
      </c>
      <c r="R2">
        <v>-579.20199727367105</v>
      </c>
      <c r="S2">
        <v>-6279.1597197036299</v>
      </c>
    </row>
    <row r="3" spans="1:19" x14ac:dyDescent="0.25">
      <c r="A3" t="s">
        <v>289</v>
      </c>
      <c r="B3">
        <v>268</v>
      </c>
      <c r="C3">
        <v>3605</v>
      </c>
      <c r="D3">
        <v>184.5</v>
      </c>
      <c r="E3">
        <v>2723</v>
      </c>
      <c r="F3">
        <v>0.37415672029060698</v>
      </c>
      <c r="G3">
        <v>0.32069249793899401</v>
      </c>
      <c r="H3">
        <v>-5.3464222351612897E-2</v>
      </c>
      <c r="I3">
        <v>7.4341192787794705E-2</v>
      </c>
      <c r="J3">
        <v>6.77561513037091E-2</v>
      </c>
      <c r="K3">
        <v>-8.85786363810767E-2</v>
      </c>
      <c r="L3">
        <v>-2.4638375246630599E-3</v>
      </c>
      <c r="M3">
        <v>-2.3595224519530199E-3</v>
      </c>
      <c r="N3">
        <v>3.52064122099747E-4</v>
      </c>
      <c r="O3">
        <v>-4.4712958545163302E-3</v>
      </c>
      <c r="P3">
        <v>-2755.7795365038301</v>
      </c>
      <c r="Q3">
        <v>-2639.1040902352902</v>
      </c>
      <c r="R3">
        <v>393.78047192959701</v>
      </c>
      <c r="S3">
        <v>-5001.1031548095198</v>
      </c>
    </row>
    <row r="4" spans="1:19" x14ac:dyDescent="0.25">
      <c r="A4" t="s">
        <v>290</v>
      </c>
      <c r="B4">
        <v>24</v>
      </c>
      <c r="C4">
        <v>982</v>
      </c>
      <c r="D4">
        <v>13.5</v>
      </c>
      <c r="E4">
        <v>745</v>
      </c>
      <c r="F4">
        <v>0.101920083030618</v>
      </c>
      <c r="G4">
        <v>8.7739959957602198E-2</v>
      </c>
      <c r="H4">
        <v>-1.41801230730154E-2</v>
      </c>
      <c r="I4">
        <v>2.4439918533604901E-2</v>
      </c>
      <c r="J4">
        <v>1.81208053691275E-2</v>
      </c>
      <c r="K4">
        <v>-0.25855704697986598</v>
      </c>
      <c r="L4">
        <v>-6.4404453840340202E-4</v>
      </c>
      <c r="M4">
        <v>8.1798571398464899E-5</v>
      </c>
      <c r="N4">
        <v>8.9605802384600799E-5</v>
      </c>
      <c r="O4">
        <v>-4.72640164620336E-4</v>
      </c>
      <c r="P4">
        <v>-720.35787334307599</v>
      </c>
      <c r="Q4">
        <v>91.490947320466702</v>
      </c>
      <c r="R4">
        <v>100.223263137961</v>
      </c>
      <c r="S4">
        <v>-528.64366288464805</v>
      </c>
    </row>
    <row r="5" spans="1:19" x14ac:dyDescent="0.25">
      <c r="A5" t="s">
        <v>291</v>
      </c>
      <c r="B5">
        <v>5</v>
      </c>
      <c r="C5">
        <v>857</v>
      </c>
      <c r="D5">
        <v>6</v>
      </c>
      <c r="E5">
        <v>931</v>
      </c>
      <c r="F5">
        <v>8.8946549039958495E-2</v>
      </c>
      <c r="G5">
        <v>0.10964550700742</v>
      </c>
      <c r="H5">
        <v>2.0698957967461101E-2</v>
      </c>
      <c r="I5">
        <v>5.8343057176195997E-3</v>
      </c>
      <c r="J5">
        <v>6.44468313641246E-3</v>
      </c>
      <c r="K5">
        <v>0.10461868958109601</v>
      </c>
      <c r="L5">
        <v>5.4290965013542102E-5</v>
      </c>
      <c r="M5">
        <v>-5.0451951244109903E-4</v>
      </c>
      <c r="N5">
        <v>1.2634176535880799E-5</v>
      </c>
      <c r="O5">
        <v>-4.3759437089167601E-4</v>
      </c>
      <c r="P5">
        <v>60.723943402812303</v>
      </c>
      <c r="Q5">
        <v>-564.30041925845205</v>
      </c>
      <c r="R5">
        <v>14.131209874692701</v>
      </c>
      <c r="S5">
        <v>-489.445265980947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00FF"/>
  </sheetPr>
  <dimension ref="A1:F8"/>
  <sheetViews>
    <sheetView workbookViewId="0"/>
  </sheetViews>
  <sheetFormatPr defaultRowHeight="15" x14ac:dyDescent="0.25"/>
  <sheetData>
    <row r="1" spans="1:6" x14ac:dyDescent="0.25">
      <c r="A1" t="s">
        <v>206</v>
      </c>
      <c r="B1" t="s">
        <v>292</v>
      </c>
      <c r="C1" t="s">
        <v>293</v>
      </c>
      <c r="D1" t="s">
        <v>294</v>
      </c>
      <c r="E1" t="s">
        <v>295</v>
      </c>
      <c r="F1" t="s">
        <v>296</v>
      </c>
    </row>
    <row r="2" spans="1:6" x14ac:dyDescent="0.25">
      <c r="A2" t="s">
        <v>224</v>
      </c>
    </row>
    <row r="3" spans="1:6" x14ac:dyDescent="0.25">
      <c r="A3" t="s">
        <v>226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25">
      <c r="A4" t="s">
        <v>228</v>
      </c>
      <c r="B4">
        <v>49.8650128772234</v>
      </c>
      <c r="C4">
        <v>38.342945302372598</v>
      </c>
      <c r="D4">
        <v>80.743092485370099</v>
      </c>
      <c r="E4">
        <v>21.629492603820601</v>
      </c>
      <c r="F4">
        <v>136.343500426681</v>
      </c>
    </row>
    <row r="5" spans="1:6" x14ac:dyDescent="0.25">
      <c r="A5" t="s">
        <v>230</v>
      </c>
      <c r="B5">
        <v>-3445.2238517819101</v>
      </c>
      <c r="C5">
        <v>-1513.9595025537999</v>
      </c>
      <c r="D5">
        <v>299.193337866033</v>
      </c>
      <c r="E5">
        <v>-92.188833818324198</v>
      </c>
      <c r="F5">
        <v>-3138.59873441745</v>
      </c>
    </row>
    <row r="6" spans="1:6" x14ac:dyDescent="0.25">
      <c r="A6" t="s">
        <v>232</v>
      </c>
      <c r="B6">
        <v>1211.4920106735999</v>
      </c>
      <c r="C6">
        <v>308.77990296758401</v>
      </c>
      <c r="D6">
        <v>-71.643279865805894</v>
      </c>
      <c r="E6">
        <v>-21.379550312294999</v>
      </c>
      <c r="F6">
        <v>-1153.5827382211701</v>
      </c>
    </row>
    <row r="7" spans="1:6" x14ac:dyDescent="0.25">
      <c r="A7" t="s">
        <v>234</v>
      </c>
      <c r="B7">
        <v>227.51968742210599</v>
      </c>
      <c r="C7">
        <v>241.60683909413399</v>
      </c>
      <c r="D7">
        <v>-113.628497187813</v>
      </c>
      <c r="E7">
        <v>-88.763087807724006</v>
      </c>
      <c r="F7">
        <v>-1882.36480081485</v>
      </c>
    </row>
    <row r="8" spans="1:6" x14ac:dyDescent="0.25">
      <c r="A8" t="s">
        <v>236</v>
      </c>
      <c r="B8">
        <v>0</v>
      </c>
      <c r="C8">
        <v>0</v>
      </c>
      <c r="D8">
        <v>0</v>
      </c>
      <c r="E8">
        <v>0</v>
      </c>
      <c r="F8">
        <v>0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00FF"/>
  </sheetPr>
  <dimension ref="A1:AI32"/>
  <sheetViews>
    <sheetView workbookViewId="0"/>
  </sheetViews>
  <sheetFormatPr defaultRowHeight="15" x14ac:dyDescent="0.25"/>
  <sheetData>
    <row r="1" spans="1:35" x14ac:dyDescent="0.25">
      <c r="A1" t="s">
        <v>241</v>
      </c>
      <c r="B1" t="s">
        <v>297</v>
      </c>
      <c r="C1" t="s">
        <v>243</v>
      </c>
      <c r="D1" t="s">
        <v>242</v>
      </c>
      <c r="E1" t="s">
        <v>273</v>
      </c>
      <c r="F1" t="s">
        <v>274</v>
      </c>
      <c r="G1" t="s">
        <v>276</v>
      </c>
      <c r="H1" t="s">
        <v>275</v>
      </c>
      <c r="I1" t="s">
        <v>277</v>
      </c>
      <c r="J1" t="s">
        <v>298</v>
      </c>
      <c r="K1" t="s">
        <v>299</v>
      </c>
      <c r="L1" t="s">
        <v>300</v>
      </c>
      <c r="M1" t="s">
        <v>301</v>
      </c>
      <c r="N1" t="s">
        <v>278</v>
      </c>
      <c r="O1" t="s">
        <v>279</v>
      </c>
      <c r="P1" t="s">
        <v>211</v>
      </c>
      <c r="Q1" t="s">
        <v>212</v>
      </c>
      <c r="R1" t="s">
        <v>280</v>
      </c>
      <c r="S1" t="s">
        <v>281</v>
      </c>
      <c r="T1" t="s">
        <v>282</v>
      </c>
      <c r="U1" t="s">
        <v>283</v>
      </c>
      <c r="V1" t="s">
        <v>284</v>
      </c>
      <c r="W1" t="s">
        <v>285</v>
      </c>
      <c r="X1" t="s">
        <v>302</v>
      </c>
      <c r="Y1" t="s">
        <v>303</v>
      </c>
      <c r="Z1" t="s">
        <v>304</v>
      </c>
      <c r="AA1" t="s">
        <v>286</v>
      </c>
      <c r="AB1" t="s">
        <v>244</v>
      </c>
      <c r="AC1" t="s">
        <v>287</v>
      </c>
      <c r="AD1" t="s">
        <v>247</v>
      </c>
      <c r="AE1" t="s">
        <v>305</v>
      </c>
      <c r="AF1" t="s">
        <v>306</v>
      </c>
      <c r="AG1" t="s">
        <v>307</v>
      </c>
      <c r="AH1" t="s">
        <v>308</v>
      </c>
      <c r="AI1" t="s">
        <v>309</v>
      </c>
    </row>
    <row r="2" spans="1:35" x14ac:dyDescent="0.25">
      <c r="A2" t="s">
        <v>310</v>
      </c>
      <c r="B2" t="s">
        <v>224</v>
      </c>
      <c r="C2" t="s">
        <v>311</v>
      </c>
    </row>
    <row r="3" spans="1:35" x14ac:dyDescent="0.25">
      <c r="A3" t="s">
        <v>256</v>
      </c>
      <c r="B3" t="s">
        <v>226</v>
      </c>
      <c r="C3" t="s">
        <v>258</v>
      </c>
      <c r="D3" t="s">
        <v>257</v>
      </c>
      <c r="E3" t="s">
        <v>291</v>
      </c>
      <c r="F3">
        <v>743</v>
      </c>
      <c r="G3">
        <v>807</v>
      </c>
      <c r="H3">
        <v>1</v>
      </c>
      <c r="I3">
        <v>1</v>
      </c>
      <c r="J3">
        <v>9180</v>
      </c>
      <c r="K3">
        <v>8105</v>
      </c>
      <c r="L3">
        <v>1</v>
      </c>
      <c r="M3">
        <v>1</v>
      </c>
      <c r="N3">
        <v>1</v>
      </c>
      <c r="O3">
        <v>1</v>
      </c>
      <c r="P3">
        <v>743</v>
      </c>
      <c r="Q3">
        <v>807</v>
      </c>
      <c r="R3">
        <v>0</v>
      </c>
      <c r="S3">
        <v>8.6137281292059095E-2</v>
      </c>
      <c r="T3">
        <v>64</v>
      </c>
      <c r="U3">
        <v>0</v>
      </c>
      <c r="V3">
        <v>0</v>
      </c>
      <c r="W3">
        <v>64</v>
      </c>
      <c r="X3">
        <v>-1075</v>
      </c>
      <c r="Y3">
        <v>-5396.8081089770803</v>
      </c>
      <c r="Z3">
        <v>5.0202866130019403</v>
      </c>
      <c r="AA3">
        <v>321.29834323212401</v>
      </c>
      <c r="AB3">
        <v>0</v>
      </c>
      <c r="AC3">
        <v>0</v>
      </c>
      <c r="AD3">
        <v>321.29834323212401</v>
      </c>
      <c r="AE3">
        <v>1</v>
      </c>
      <c r="AF3">
        <v>1</v>
      </c>
      <c r="AG3" t="s">
        <v>312</v>
      </c>
      <c r="AH3">
        <v>321.29834323212401</v>
      </c>
      <c r="AI3" t="s">
        <v>313</v>
      </c>
    </row>
    <row r="4" spans="1:35" x14ac:dyDescent="0.25">
      <c r="A4" t="s">
        <v>256</v>
      </c>
      <c r="B4" t="s">
        <v>226</v>
      </c>
      <c r="C4" t="s">
        <v>314</v>
      </c>
      <c r="D4" t="s">
        <v>315</v>
      </c>
      <c r="E4" t="s">
        <v>291</v>
      </c>
      <c r="F4">
        <v>2361</v>
      </c>
      <c r="G4">
        <v>2328</v>
      </c>
      <c r="H4">
        <v>1</v>
      </c>
      <c r="I4">
        <v>1</v>
      </c>
      <c r="J4">
        <v>9180</v>
      </c>
      <c r="K4">
        <v>8105</v>
      </c>
      <c r="L4">
        <v>1</v>
      </c>
      <c r="M4">
        <v>1</v>
      </c>
      <c r="N4">
        <v>1</v>
      </c>
      <c r="O4">
        <v>1</v>
      </c>
      <c r="P4">
        <v>2361</v>
      </c>
      <c r="Q4">
        <v>2328</v>
      </c>
      <c r="R4">
        <v>0</v>
      </c>
      <c r="S4">
        <v>-1.3977128335451099E-2</v>
      </c>
      <c r="T4">
        <v>-33</v>
      </c>
      <c r="U4">
        <v>0</v>
      </c>
      <c r="V4">
        <v>0</v>
      </c>
      <c r="W4">
        <v>-33</v>
      </c>
      <c r="X4">
        <v>-1075</v>
      </c>
      <c r="Y4">
        <v>-5396.8081089770803</v>
      </c>
      <c r="Z4">
        <v>5.0202866130019403</v>
      </c>
      <c r="AA4">
        <v>-165.66945822906399</v>
      </c>
      <c r="AB4">
        <v>0</v>
      </c>
      <c r="AC4">
        <v>0</v>
      </c>
      <c r="AD4">
        <v>-165.66945822906399</v>
      </c>
      <c r="AE4">
        <v>2</v>
      </c>
      <c r="AF4">
        <v>1</v>
      </c>
      <c r="AG4" t="s">
        <v>316</v>
      </c>
      <c r="AH4">
        <v>-165.66945822906399</v>
      </c>
      <c r="AI4" t="s">
        <v>317</v>
      </c>
    </row>
    <row r="5" spans="1:35" x14ac:dyDescent="0.25">
      <c r="A5" t="s">
        <v>256</v>
      </c>
      <c r="B5" t="s">
        <v>226</v>
      </c>
      <c r="C5" t="s">
        <v>271</v>
      </c>
      <c r="D5" t="s">
        <v>270</v>
      </c>
      <c r="E5" t="s">
        <v>318</v>
      </c>
      <c r="F5">
        <v>245</v>
      </c>
      <c r="G5">
        <v>125</v>
      </c>
      <c r="H5">
        <v>1</v>
      </c>
      <c r="I5">
        <v>1</v>
      </c>
      <c r="J5">
        <v>9180</v>
      </c>
      <c r="K5">
        <v>8105</v>
      </c>
      <c r="L5">
        <v>1</v>
      </c>
      <c r="M5">
        <v>1</v>
      </c>
      <c r="N5">
        <v>1</v>
      </c>
      <c r="O5">
        <v>1</v>
      </c>
      <c r="P5">
        <v>245</v>
      </c>
      <c r="Q5">
        <v>125</v>
      </c>
      <c r="R5">
        <v>0</v>
      </c>
      <c r="S5">
        <v>-0.48979591836734698</v>
      </c>
      <c r="T5">
        <v>-120</v>
      </c>
      <c r="U5">
        <v>0</v>
      </c>
      <c r="V5">
        <v>0</v>
      </c>
      <c r="W5">
        <v>-120</v>
      </c>
      <c r="X5">
        <v>-1075</v>
      </c>
      <c r="Y5">
        <v>-5396.8081089770803</v>
      </c>
      <c r="Z5">
        <v>5.0202866130019403</v>
      </c>
      <c r="AA5">
        <v>-602.43439356023202</v>
      </c>
      <c r="AB5">
        <v>0</v>
      </c>
      <c r="AC5">
        <v>0</v>
      </c>
      <c r="AD5">
        <v>-602.43439356023202</v>
      </c>
      <c r="AE5">
        <v>3</v>
      </c>
      <c r="AF5">
        <v>1</v>
      </c>
      <c r="AG5" t="s">
        <v>319</v>
      </c>
      <c r="AH5">
        <v>-602.43439356023202</v>
      </c>
      <c r="AI5" t="s">
        <v>320</v>
      </c>
    </row>
    <row r="6" spans="1:35" x14ac:dyDescent="0.25">
      <c r="A6" t="s">
        <v>256</v>
      </c>
      <c r="B6" t="s">
        <v>226</v>
      </c>
      <c r="C6" t="s">
        <v>262</v>
      </c>
      <c r="D6" t="s">
        <v>261</v>
      </c>
      <c r="E6" t="s">
        <v>321</v>
      </c>
      <c r="F6">
        <v>2459</v>
      </c>
      <c r="G6">
        <v>2402</v>
      </c>
      <c r="H6">
        <v>1</v>
      </c>
      <c r="I6">
        <v>1</v>
      </c>
      <c r="J6">
        <v>9180</v>
      </c>
      <c r="K6">
        <v>8105</v>
      </c>
      <c r="L6">
        <v>1</v>
      </c>
      <c r="M6">
        <v>1</v>
      </c>
      <c r="N6">
        <v>1</v>
      </c>
      <c r="O6">
        <v>1</v>
      </c>
      <c r="P6">
        <v>2459</v>
      </c>
      <c r="Q6">
        <v>2402</v>
      </c>
      <c r="R6">
        <v>0</v>
      </c>
      <c r="S6">
        <v>-2.31801545343636E-2</v>
      </c>
      <c r="T6">
        <v>-57</v>
      </c>
      <c r="U6">
        <v>0</v>
      </c>
      <c r="V6">
        <v>0</v>
      </c>
      <c r="W6">
        <v>-57</v>
      </c>
      <c r="X6">
        <v>-1075</v>
      </c>
      <c r="Y6">
        <v>-5396.8081089770803</v>
      </c>
      <c r="Z6">
        <v>5.0202866130019403</v>
      </c>
      <c r="AA6">
        <v>-286.15633694111</v>
      </c>
      <c r="AB6">
        <v>0</v>
      </c>
      <c r="AC6">
        <v>0</v>
      </c>
      <c r="AD6">
        <v>-286.15633694111</v>
      </c>
      <c r="AE6">
        <v>4</v>
      </c>
      <c r="AF6">
        <v>1</v>
      </c>
      <c r="AG6" t="s">
        <v>322</v>
      </c>
      <c r="AH6">
        <v>-286.15633694111</v>
      </c>
      <c r="AI6" t="s">
        <v>323</v>
      </c>
    </row>
    <row r="7" spans="1:35" x14ac:dyDescent="0.25">
      <c r="A7" t="s">
        <v>256</v>
      </c>
      <c r="B7" t="s">
        <v>226</v>
      </c>
      <c r="C7" t="s">
        <v>311</v>
      </c>
      <c r="D7" t="s">
        <v>324</v>
      </c>
      <c r="E7" t="s">
        <v>325</v>
      </c>
      <c r="F7">
        <v>538</v>
      </c>
      <c r="G7">
        <v>596</v>
      </c>
      <c r="H7">
        <v>1</v>
      </c>
      <c r="I7">
        <v>1</v>
      </c>
      <c r="J7">
        <v>9180</v>
      </c>
      <c r="K7">
        <v>8105</v>
      </c>
      <c r="L7">
        <v>1</v>
      </c>
      <c r="M7">
        <v>1</v>
      </c>
      <c r="N7">
        <v>1</v>
      </c>
      <c r="O7">
        <v>1</v>
      </c>
      <c r="P7">
        <v>538</v>
      </c>
      <c r="Q7">
        <v>596</v>
      </c>
      <c r="R7">
        <v>0</v>
      </c>
      <c r="S7">
        <v>0.107806691449814</v>
      </c>
      <c r="T7">
        <v>58</v>
      </c>
      <c r="U7">
        <v>0</v>
      </c>
      <c r="V7">
        <v>0</v>
      </c>
      <c r="W7">
        <v>58</v>
      </c>
      <c r="X7">
        <v>-1075</v>
      </c>
      <c r="Y7">
        <v>-5396.8081089770803</v>
      </c>
      <c r="Z7">
        <v>5.0202866130019403</v>
      </c>
      <c r="AA7">
        <v>291.17662355411198</v>
      </c>
      <c r="AB7">
        <v>0</v>
      </c>
      <c r="AC7">
        <v>0</v>
      </c>
      <c r="AD7">
        <v>291.17662355411198</v>
      </c>
      <c r="AE7">
        <v>5</v>
      </c>
      <c r="AF7">
        <v>1</v>
      </c>
      <c r="AG7" t="s">
        <v>326</v>
      </c>
      <c r="AH7">
        <v>291.17662355411198</v>
      </c>
      <c r="AI7" t="s">
        <v>327</v>
      </c>
    </row>
    <row r="8" spans="1:35" x14ac:dyDescent="0.25">
      <c r="A8" t="s">
        <v>260</v>
      </c>
      <c r="B8" t="s">
        <v>228</v>
      </c>
      <c r="C8" t="s">
        <v>258</v>
      </c>
      <c r="D8" t="s">
        <v>257</v>
      </c>
      <c r="E8" t="s">
        <v>290</v>
      </c>
      <c r="F8">
        <v>982</v>
      </c>
      <c r="G8">
        <v>745</v>
      </c>
      <c r="H8">
        <v>933</v>
      </c>
      <c r="I8">
        <v>697</v>
      </c>
      <c r="J8">
        <v>9635</v>
      </c>
      <c r="K8">
        <v>8491</v>
      </c>
      <c r="L8">
        <v>9180</v>
      </c>
      <c r="M8">
        <v>8105</v>
      </c>
      <c r="N8">
        <v>0.10163398692810501</v>
      </c>
      <c r="O8">
        <v>8.5996298581122801E-2</v>
      </c>
      <c r="P8">
        <v>1.0525187566988199</v>
      </c>
      <c r="Q8">
        <v>1.06886657101865</v>
      </c>
      <c r="R8">
        <v>-1.5637688346981801E-2</v>
      </c>
      <c r="S8">
        <v>1.5532088350714599E-2</v>
      </c>
      <c r="T8">
        <v>1.66149354688472E-3</v>
      </c>
      <c r="U8">
        <v>-7.6528247969511498E-5</v>
      </c>
      <c r="V8">
        <v>-2.5564202548783303E-4</v>
      </c>
      <c r="W8">
        <v>1.32932327342737E-3</v>
      </c>
      <c r="X8">
        <v>-3.4851858651426802E-3</v>
      </c>
      <c r="Y8">
        <v>-85.156487136903493</v>
      </c>
      <c r="Z8">
        <v>43909.870427147303</v>
      </c>
      <c r="AA8">
        <v>72.955966359249302</v>
      </c>
      <c r="AB8">
        <v>-3.36034545235785</v>
      </c>
      <c r="AC8">
        <v>-11.225208214904301</v>
      </c>
      <c r="AD8">
        <v>58.370412691987198</v>
      </c>
      <c r="AE8">
        <v>1</v>
      </c>
      <c r="AF8">
        <v>2</v>
      </c>
      <c r="AG8" t="s">
        <v>328</v>
      </c>
      <c r="AH8">
        <v>72.955966359249302</v>
      </c>
      <c r="AI8" t="s">
        <v>329</v>
      </c>
    </row>
    <row r="9" spans="1:35" x14ac:dyDescent="0.25">
      <c r="A9" t="s">
        <v>260</v>
      </c>
      <c r="B9" t="s">
        <v>228</v>
      </c>
      <c r="C9" t="s">
        <v>314</v>
      </c>
      <c r="D9" t="s">
        <v>315</v>
      </c>
      <c r="E9" t="s">
        <v>291</v>
      </c>
      <c r="F9">
        <v>2529</v>
      </c>
      <c r="G9">
        <v>2496</v>
      </c>
      <c r="H9">
        <v>2361</v>
      </c>
      <c r="I9">
        <v>2328</v>
      </c>
      <c r="J9">
        <v>9635</v>
      </c>
      <c r="K9">
        <v>8491</v>
      </c>
      <c r="L9">
        <v>9180</v>
      </c>
      <c r="M9">
        <v>8105</v>
      </c>
      <c r="N9">
        <v>0.25718954248365999</v>
      </c>
      <c r="O9">
        <v>0.28723010487353501</v>
      </c>
      <c r="P9">
        <v>1.07115628970775</v>
      </c>
      <c r="Q9">
        <v>1.07216494845361</v>
      </c>
      <c r="R9">
        <v>3.0040562389874698E-2</v>
      </c>
      <c r="S9">
        <v>9.4165413166047397E-4</v>
      </c>
      <c r="T9">
        <v>2.5941648136918599E-4</v>
      </c>
      <c r="U9">
        <v>7.0689549309459296E-4</v>
      </c>
      <c r="V9">
        <v>3.0300675985019501E-5</v>
      </c>
      <c r="W9">
        <v>9.9661265044879792E-4</v>
      </c>
      <c r="X9">
        <v>-2.9736167738616901E-3</v>
      </c>
      <c r="Y9">
        <v>-85.156487136903493</v>
      </c>
      <c r="Z9">
        <v>43909.870427147303</v>
      </c>
      <c r="AA9">
        <v>11.390944083587399</v>
      </c>
      <c r="AB9">
        <v>31.039689507317998</v>
      </c>
      <c r="AC9">
        <v>1.33049875635718</v>
      </c>
      <c r="AD9">
        <v>43.761132347262503</v>
      </c>
      <c r="AE9">
        <v>2</v>
      </c>
      <c r="AF9">
        <v>2</v>
      </c>
      <c r="AG9" t="s">
        <v>330</v>
      </c>
      <c r="AH9">
        <v>11.390944083587399</v>
      </c>
      <c r="AI9" t="s">
        <v>331</v>
      </c>
    </row>
    <row r="10" spans="1:35" x14ac:dyDescent="0.25">
      <c r="A10" t="s">
        <v>260</v>
      </c>
      <c r="B10" t="s">
        <v>228</v>
      </c>
      <c r="C10" t="s">
        <v>271</v>
      </c>
      <c r="D10" t="s">
        <v>270</v>
      </c>
      <c r="E10" t="s">
        <v>318</v>
      </c>
      <c r="F10">
        <v>264</v>
      </c>
      <c r="G10">
        <v>138</v>
      </c>
      <c r="H10">
        <v>245</v>
      </c>
      <c r="I10">
        <v>125</v>
      </c>
      <c r="J10">
        <v>9635</v>
      </c>
      <c r="K10">
        <v>8491</v>
      </c>
      <c r="L10">
        <v>9180</v>
      </c>
      <c r="M10">
        <v>8105</v>
      </c>
      <c r="N10">
        <v>2.6688453159041399E-2</v>
      </c>
      <c r="O10">
        <v>1.5422578655151099E-2</v>
      </c>
      <c r="P10">
        <v>1.07755102040816</v>
      </c>
      <c r="Q10">
        <v>1.1040000000000001</v>
      </c>
      <c r="R10">
        <v>-1.12658745038903E-2</v>
      </c>
      <c r="S10">
        <v>2.4545454545454599E-2</v>
      </c>
      <c r="T10">
        <v>7.0588235294117804E-4</v>
      </c>
      <c r="U10">
        <v>-3.3714365906340599E-4</v>
      </c>
      <c r="V10">
        <v>-2.9797088483758801E-4</v>
      </c>
      <c r="W10">
        <v>7.0767809040184302E-5</v>
      </c>
      <c r="X10">
        <v>-3.6393826070883102E-3</v>
      </c>
      <c r="Y10">
        <v>-85.156487136903493</v>
      </c>
      <c r="Z10">
        <v>43909.870427147303</v>
      </c>
      <c r="AA10">
        <v>30.995202654457</v>
      </c>
      <c r="AB10">
        <v>-14.8039343848085</v>
      </c>
      <c r="AC10">
        <v>-13.0838629442809</v>
      </c>
      <c r="AD10">
        <v>3.1074053253675999</v>
      </c>
      <c r="AE10">
        <v>3</v>
      </c>
      <c r="AF10">
        <v>2</v>
      </c>
      <c r="AG10" t="s">
        <v>332</v>
      </c>
      <c r="AH10">
        <v>30.995202654457</v>
      </c>
      <c r="AI10" t="s">
        <v>333</v>
      </c>
    </row>
    <row r="11" spans="1:35" x14ac:dyDescent="0.25">
      <c r="A11" t="s">
        <v>260</v>
      </c>
      <c r="B11" t="s">
        <v>228</v>
      </c>
      <c r="C11" t="s">
        <v>262</v>
      </c>
      <c r="D11" t="s">
        <v>261</v>
      </c>
      <c r="E11" t="s">
        <v>334</v>
      </c>
      <c r="F11">
        <v>7023</v>
      </c>
      <c r="G11">
        <v>5988</v>
      </c>
      <c r="H11">
        <v>6721</v>
      </c>
      <c r="I11">
        <v>5703</v>
      </c>
      <c r="J11">
        <v>9635</v>
      </c>
      <c r="K11">
        <v>8491</v>
      </c>
      <c r="L11">
        <v>9180</v>
      </c>
      <c r="M11">
        <v>8105</v>
      </c>
      <c r="N11">
        <v>0.732135076252723</v>
      </c>
      <c r="O11">
        <v>0.70363972856261603</v>
      </c>
      <c r="P11">
        <v>1.04493378961464</v>
      </c>
      <c r="Q11">
        <v>1.04997369805366</v>
      </c>
      <c r="R11">
        <v>-2.84953476901076E-2</v>
      </c>
      <c r="S11">
        <v>4.8231844822186299E-3</v>
      </c>
      <c r="T11">
        <v>3.6898937493052598E-3</v>
      </c>
      <c r="U11">
        <v>7.6684778279334506E-5</v>
      </c>
      <c r="V11">
        <v>-1.4361394329605E-4</v>
      </c>
      <c r="W11">
        <v>3.6229645842885401E-3</v>
      </c>
      <c r="X11">
        <v>-1.7135100953485499E-3</v>
      </c>
      <c r="Y11">
        <v>-85.156487136903493</v>
      </c>
      <c r="Z11">
        <v>43909.870427147303</v>
      </c>
      <c r="AA11">
        <v>162.02275642193499</v>
      </c>
      <c r="AB11">
        <v>3.3672186779800901</v>
      </c>
      <c r="AC11">
        <v>-6.3060696416612503</v>
      </c>
      <c r="AD11">
        <v>159.08390545825301</v>
      </c>
      <c r="AE11">
        <v>4</v>
      </c>
      <c r="AF11">
        <v>2</v>
      </c>
      <c r="AG11" t="s">
        <v>335</v>
      </c>
      <c r="AH11">
        <v>162.02275642193499</v>
      </c>
      <c r="AI11" t="s">
        <v>336</v>
      </c>
    </row>
    <row r="12" spans="1:35" x14ac:dyDescent="0.25">
      <c r="A12" t="s">
        <v>260</v>
      </c>
      <c r="B12" t="s">
        <v>228</v>
      </c>
      <c r="C12" t="s">
        <v>311</v>
      </c>
      <c r="D12" t="s">
        <v>324</v>
      </c>
      <c r="E12" t="s">
        <v>337</v>
      </c>
      <c r="F12">
        <v>1298</v>
      </c>
      <c r="G12">
        <v>1251</v>
      </c>
      <c r="H12">
        <v>1257</v>
      </c>
      <c r="I12">
        <v>1202</v>
      </c>
      <c r="J12">
        <v>9635</v>
      </c>
      <c r="K12">
        <v>8491</v>
      </c>
      <c r="L12">
        <v>9180</v>
      </c>
      <c r="M12">
        <v>8105</v>
      </c>
      <c r="N12">
        <v>0.136928104575163</v>
      </c>
      <c r="O12">
        <v>0.14830351634793301</v>
      </c>
      <c r="P12">
        <v>1.0326173428798699</v>
      </c>
      <c r="Q12">
        <v>1.0407653910149799</v>
      </c>
      <c r="R12">
        <v>1.1375411772769999E-2</v>
      </c>
      <c r="S12">
        <v>7.8906752741323399E-3</v>
      </c>
      <c r="T12">
        <v>1.11569678712677E-3</v>
      </c>
      <c r="U12">
        <v>-1.70717402295077E-4</v>
      </c>
      <c r="V12">
        <v>9.2687402681140103E-5</v>
      </c>
      <c r="W12">
        <v>1.0376667875128299E-3</v>
      </c>
      <c r="X12">
        <v>-1.9803311511706299E-2</v>
      </c>
      <c r="Y12">
        <v>-85.156487136903493</v>
      </c>
      <c r="Z12">
        <v>43909.870427147303</v>
      </c>
      <c r="AA12">
        <v>48.9901013587208</v>
      </c>
      <c r="AB12">
        <v>-7.4961790144359997</v>
      </c>
      <c r="AC12">
        <v>4.0698918419576904</v>
      </c>
      <c r="AD12">
        <v>45.563814186242503</v>
      </c>
      <c r="AE12">
        <v>5</v>
      </c>
      <c r="AF12">
        <v>2</v>
      </c>
      <c r="AG12" t="s">
        <v>338</v>
      </c>
      <c r="AH12">
        <v>48.9901013587208</v>
      </c>
      <c r="AI12" t="s">
        <v>339</v>
      </c>
    </row>
    <row r="13" spans="1:35" x14ac:dyDescent="0.25">
      <c r="A13" t="s">
        <v>264</v>
      </c>
      <c r="B13" t="s">
        <v>230</v>
      </c>
      <c r="C13" t="s">
        <v>258</v>
      </c>
      <c r="D13" t="s">
        <v>257</v>
      </c>
      <c r="E13" t="s">
        <v>291</v>
      </c>
      <c r="F13">
        <v>5</v>
      </c>
      <c r="G13">
        <v>6</v>
      </c>
      <c r="H13">
        <v>857</v>
      </c>
      <c r="I13">
        <v>931</v>
      </c>
      <c r="J13">
        <v>397</v>
      </c>
      <c r="K13">
        <v>256.5</v>
      </c>
      <c r="L13">
        <v>9635</v>
      </c>
      <c r="M13">
        <v>8491</v>
      </c>
      <c r="N13">
        <v>8.8946549039958495E-2</v>
      </c>
      <c r="O13">
        <v>0.10964550700742</v>
      </c>
      <c r="P13">
        <v>5.8343057176195997E-3</v>
      </c>
      <c r="Q13">
        <v>6.44468313641246E-3</v>
      </c>
      <c r="R13">
        <v>2.0698957967461101E-2</v>
      </c>
      <c r="S13">
        <v>0.10461868958109601</v>
      </c>
      <c r="T13">
        <v>5.4290965013542102E-5</v>
      </c>
      <c r="U13">
        <v>-5.0451951244109903E-4</v>
      </c>
      <c r="V13">
        <v>1.2634176535880799E-5</v>
      </c>
      <c r="W13">
        <v>-4.3759437089167601E-4</v>
      </c>
      <c r="X13">
        <v>-7.8517061691143995E-3</v>
      </c>
      <c r="Y13">
        <v>-12298.3518033788</v>
      </c>
      <c r="Z13">
        <v>1118490.7725929299</v>
      </c>
      <c r="AA13">
        <v>60.723943402812303</v>
      </c>
      <c r="AB13">
        <v>-564.30041925845205</v>
      </c>
      <c r="AC13">
        <v>14.131209874692701</v>
      </c>
      <c r="AD13">
        <v>-489.445265980947</v>
      </c>
      <c r="AE13">
        <v>1</v>
      </c>
      <c r="AF13">
        <v>3</v>
      </c>
      <c r="AG13" t="s">
        <v>340</v>
      </c>
      <c r="AH13">
        <v>60.723943402812303</v>
      </c>
      <c r="AI13" t="s">
        <v>341</v>
      </c>
    </row>
    <row r="14" spans="1:35" x14ac:dyDescent="0.25">
      <c r="A14" t="s">
        <v>264</v>
      </c>
      <c r="B14" t="s">
        <v>230</v>
      </c>
      <c r="C14" t="s">
        <v>314</v>
      </c>
      <c r="D14" t="s">
        <v>315</v>
      </c>
      <c r="E14" t="s">
        <v>291</v>
      </c>
      <c r="F14">
        <v>24</v>
      </c>
      <c r="G14">
        <v>12.75</v>
      </c>
      <c r="H14">
        <v>2529</v>
      </c>
      <c r="I14">
        <v>2496</v>
      </c>
      <c r="J14">
        <v>397</v>
      </c>
      <c r="K14">
        <v>256.5</v>
      </c>
      <c r="L14">
        <v>9635</v>
      </c>
      <c r="M14">
        <v>8491</v>
      </c>
      <c r="N14">
        <v>0.26248053969901403</v>
      </c>
      <c r="O14">
        <v>0.29395830879755003</v>
      </c>
      <c r="P14">
        <v>9.4899169632265707E-3</v>
      </c>
      <c r="Q14">
        <v>5.1081730769230796E-3</v>
      </c>
      <c r="R14">
        <v>3.14777690985363E-2</v>
      </c>
      <c r="S14">
        <v>-0.461726262019231</v>
      </c>
      <c r="T14">
        <v>-1.1501225000998001E-3</v>
      </c>
      <c r="U14">
        <v>-6.52173388244113E-4</v>
      </c>
      <c r="V14">
        <v>-1.3792752230198501E-4</v>
      </c>
      <c r="W14">
        <v>-1.9402234106458899E-3</v>
      </c>
      <c r="X14">
        <v>-9.8764309226608907E-3</v>
      </c>
      <c r="Y14">
        <v>-12298.3518033788</v>
      </c>
      <c r="Z14">
        <v>1118490.7725929299</v>
      </c>
      <c r="AA14">
        <v>-1286.4014037131301</v>
      </c>
      <c r="AB14">
        <v>-729.44991688170501</v>
      </c>
      <c r="AC14">
        <v>-154.27066098137499</v>
      </c>
      <c r="AD14">
        <v>-2170.1219815762101</v>
      </c>
      <c r="AE14">
        <v>2</v>
      </c>
      <c r="AF14">
        <v>3</v>
      </c>
      <c r="AG14" t="s">
        <v>342</v>
      </c>
      <c r="AH14">
        <v>-1286.4014037131301</v>
      </c>
      <c r="AI14" t="s">
        <v>343</v>
      </c>
    </row>
    <row r="15" spans="1:35" x14ac:dyDescent="0.25">
      <c r="A15" t="s">
        <v>264</v>
      </c>
      <c r="B15" t="s">
        <v>230</v>
      </c>
      <c r="C15" t="s">
        <v>271</v>
      </c>
      <c r="D15" t="s">
        <v>270</v>
      </c>
      <c r="E15" t="s">
        <v>318</v>
      </c>
      <c r="F15">
        <v>55</v>
      </c>
      <c r="G15">
        <v>25.5</v>
      </c>
      <c r="H15">
        <v>264</v>
      </c>
      <c r="I15">
        <v>138</v>
      </c>
      <c r="J15">
        <v>397</v>
      </c>
      <c r="K15">
        <v>256.5</v>
      </c>
      <c r="L15">
        <v>9635</v>
      </c>
      <c r="M15">
        <v>8491</v>
      </c>
      <c r="N15">
        <v>2.7400103788271901E-2</v>
      </c>
      <c r="O15">
        <v>1.6252502649864602E-2</v>
      </c>
      <c r="P15">
        <v>0.20833333333333301</v>
      </c>
      <c r="Q15">
        <v>0.184782608695652</v>
      </c>
      <c r="R15">
        <v>-1.11476011384074E-2</v>
      </c>
      <c r="S15">
        <v>-0.11304347826087</v>
      </c>
      <c r="T15">
        <v>-6.4529229936147701E-4</v>
      </c>
      <c r="U15">
        <v>-1.9856650852032001E-3</v>
      </c>
      <c r="V15">
        <v>2.6253408478133303E-4</v>
      </c>
      <c r="W15">
        <v>-2.3684232997833398E-3</v>
      </c>
      <c r="X15">
        <v>-1.06982478726254E-2</v>
      </c>
      <c r="Y15">
        <v>-12298.3518033788</v>
      </c>
      <c r="Z15">
        <v>1118490.7725929299</v>
      </c>
      <c r="AA15">
        <v>-721.75348246108501</v>
      </c>
      <c r="AB15">
        <v>-2220.9480752597301</v>
      </c>
      <c r="AC15">
        <v>293.64195131905001</v>
      </c>
      <c r="AD15">
        <v>-2649.05960640176</v>
      </c>
      <c r="AE15">
        <v>3</v>
      </c>
      <c r="AF15">
        <v>3</v>
      </c>
      <c r="AG15" t="s">
        <v>344</v>
      </c>
      <c r="AH15">
        <v>-721.75348246108501</v>
      </c>
      <c r="AI15" t="s">
        <v>345</v>
      </c>
    </row>
    <row r="16" spans="1:35" x14ac:dyDescent="0.25">
      <c r="A16" t="s">
        <v>264</v>
      </c>
      <c r="B16" t="s">
        <v>230</v>
      </c>
      <c r="C16" t="s">
        <v>262</v>
      </c>
      <c r="D16" t="s">
        <v>261</v>
      </c>
      <c r="E16" t="s">
        <v>321</v>
      </c>
      <c r="F16">
        <v>101</v>
      </c>
      <c r="G16">
        <v>62.25</v>
      </c>
      <c r="H16">
        <v>2612</v>
      </c>
      <c r="I16">
        <v>2503</v>
      </c>
      <c r="J16">
        <v>397</v>
      </c>
      <c r="K16">
        <v>256.5</v>
      </c>
      <c r="L16">
        <v>9635</v>
      </c>
      <c r="M16">
        <v>8491</v>
      </c>
      <c r="N16">
        <v>0.27109496626881202</v>
      </c>
      <c r="O16">
        <v>0.294782711105877</v>
      </c>
      <c r="P16">
        <v>3.8667687595712097E-2</v>
      </c>
      <c r="Q16">
        <v>2.4870155813024399E-2</v>
      </c>
      <c r="R16">
        <v>2.3687744837065199E-2</v>
      </c>
      <c r="S16">
        <v>-0.35682329719188499</v>
      </c>
      <c r="T16">
        <v>-3.7404414132205899E-3</v>
      </c>
      <c r="U16">
        <v>2.00380119266734E-4</v>
      </c>
      <c r="V16">
        <v>-3.2683241224960402E-4</v>
      </c>
      <c r="W16">
        <v>-3.86689370620346E-3</v>
      </c>
      <c r="X16">
        <v>-1.08161782527533E-2</v>
      </c>
      <c r="Y16">
        <v>-12298.3518033788</v>
      </c>
      <c r="Z16">
        <v>1118490.7725929299</v>
      </c>
      <c r="AA16">
        <v>-4183.6492061116696</v>
      </c>
      <c r="AB16">
        <v>224.123314410913</v>
      </c>
      <c r="AC16">
        <v>-365.55903728547003</v>
      </c>
      <c r="AD16">
        <v>-4325.0849289862299</v>
      </c>
      <c r="AE16">
        <v>4</v>
      </c>
      <c r="AF16">
        <v>3</v>
      </c>
      <c r="AG16" t="s">
        <v>346</v>
      </c>
      <c r="AH16">
        <v>-4183.6492061116696</v>
      </c>
      <c r="AI16" t="s">
        <v>347</v>
      </c>
    </row>
    <row r="17" spans="1:35" x14ac:dyDescent="0.25">
      <c r="A17" t="s">
        <v>264</v>
      </c>
      <c r="B17" t="s">
        <v>230</v>
      </c>
      <c r="C17" t="s">
        <v>311</v>
      </c>
      <c r="D17" t="s">
        <v>324</v>
      </c>
      <c r="E17" t="s">
        <v>348</v>
      </c>
      <c r="F17">
        <v>2</v>
      </c>
      <c r="G17">
        <v>6</v>
      </c>
      <c r="H17">
        <v>1477</v>
      </c>
      <c r="I17">
        <v>1107</v>
      </c>
      <c r="J17">
        <v>397</v>
      </c>
      <c r="K17">
        <v>256.5</v>
      </c>
      <c r="L17">
        <v>9635</v>
      </c>
      <c r="M17">
        <v>8491</v>
      </c>
      <c r="N17">
        <v>0.15329527763362699</v>
      </c>
      <c r="O17">
        <v>0.130373336473914</v>
      </c>
      <c r="P17">
        <v>1.3540961408259999E-3</v>
      </c>
      <c r="Q17">
        <v>5.4200542005420098E-3</v>
      </c>
      <c r="R17">
        <v>-2.29219411597139E-2</v>
      </c>
      <c r="S17">
        <v>3.00271002710027</v>
      </c>
      <c r="T17">
        <v>6.2329216961085E-4</v>
      </c>
      <c r="U17">
        <v>6.6139793917394996E-4</v>
      </c>
      <c r="V17">
        <v>-9.3199651402674599E-5</v>
      </c>
      <c r="W17">
        <v>1.1914904573821299E-3</v>
      </c>
      <c r="X17">
        <v>-9.4936791673337993E-3</v>
      </c>
      <c r="Y17">
        <v>-12298.3518033788</v>
      </c>
      <c r="Z17">
        <v>1118490.7725929299</v>
      </c>
      <c r="AA17">
        <v>697.14654033916202</v>
      </c>
      <c r="AB17">
        <v>739.76749197804099</v>
      </c>
      <c r="AC17">
        <v>-104.242950102769</v>
      </c>
      <c r="AD17">
        <v>1332.67108221443</v>
      </c>
      <c r="AE17">
        <v>5</v>
      </c>
      <c r="AF17">
        <v>3</v>
      </c>
      <c r="AG17" t="s">
        <v>349</v>
      </c>
      <c r="AH17">
        <v>697.14654033916202</v>
      </c>
      <c r="AI17" t="s">
        <v>350</v>
      </c>
    </row>
    <row r="18" spans="1:35" x14ac:dyDescent="0.25">
      <c r="A18" t="s">
        <v>267</v>
      </c>
      <c r="B18" t="s">
        <v>232</v>
      </c>
      <c r="C18" t="s">
        <v>258</v>
      </c>
      <c r="D18" t="s">
        <v>257</v>
      </c>
      <c r="E18" t="s">
        <v>289</v>
      </c>
      <c r="F18">
        <v>195</v>
      </c>
      <c r="G18">
        <v>135.75</v>
      </c>
      <c r="H18">
        <v>268</v>
      </c>
      <c r="I18">
        <v>184.5</v>
      </c>
      <c r="J18">
        <v>248</v>
      </c>
      <c r="K18">
        <v>164.25</v>
      </c>
      <c r="L18">
        <v>397</v>
      </c>
      <c r="M18">
        <v>256.5</v>
      </c>
      <c r="N18">
        <v>0.67506297229219103</v>
      </c>
      <c r="O18">
        <v>0.71929824561403499</v>
      </c>
      <c r="P18">
        <v>0.72761194029850795</v>
      </c>
      <c r="Q18">
        <v>0.73577235772357696</v>
      </c>
      <c r="R18">
        <v>4.4235273321843599E-2</v>
      </c>
      <c r="S18">
        <v>1.1215342922659801E-2</v>
      </c>
      <c r="T18">
        <v>5.5087956421125302E-3</v>
      </c>
      <c r="U18">
        <v>3.8600169768275498E-3</v>
      </c>
      <c r="V18">
        <v>3.6097829521829298E-4</v>
      </c>
      <c r="W18">
        <v>9.7297909141583708E-3</v>
      </c>
      <c r="X18">
        <v>-5.3164412536533404E-3</v>
      </c>
      <c r="Y18">
        <v>1128.78981412292</v>
      </c>
      <c r="Z18">
        <v>72054.681816044307</v>
      </c>
      <c r="AA18">
        <v>396.93451718202903</v>
      </c>
      <c r="AB18">
        <v>278.13229506983799</v>
      </c>
      <c r="AC18">
        <v>26.0101762044522</v>
      </c>
      <c r="AD18">
        <v>701.07698845632001</v>
      </c>
      <c r="AE18">
        <v>1</v>
      </c>
      <c r="AF18">
        <v>4</v>
      </c>
      <c r="AG18" t="s">
        <v>351</v>
      </c>
      <c r="AH18">
        <v>396.93451718202903</v>
      </c>
      <c r="AI18" t="s">
        <v>352</v>
      </c>
    </row>
    <row r="19" spans="1:35" x14ac:dyDescent="0.25">
      <c r="A19" t="s">
        <v>267</v>
      </c>
      <c r="B19" t="s">
        <v>232</v>
      </c>
      <c r="C19" t="s">
        <v>314</v>
      </c>
      <c r="D19" t="s">
        <v>315</v>
      </c>
      <c r="E19" t="s">
        <v>353</v>
      </c>
      <c r="F19">
        <v>242</v>
      </c>
      <c r="G19">
        <v>161.25</v>
      </c>
      <c r="H19">
        <v>373</v>
      </c>
      <c r="I19">
        <v>243.75</v>
      </c>
      <c r="J19">
        <v>248</v>
      </c>
      <c r="K19">
        <v>164.25</v>
      </c>
      <c r="L19">
        <v>397</v>
      </c>
      <c r="M19">
        <v>256.5</v>
      </c>
      <c r="N19">
        <v>0.93954659949622199</v>
      </c>
      <c r="O19">
        <v>0.95029239766081897</v>
      </c>
      <c r="P19">
        <v>0.64879356568364599</v>
      </c>
      <c r="Q19">
        <v>0.66153846153846196</v>
      </c>
      <c r="R19">
        <v>1.0745798164597101E-2</v>
      </c>
      <c r="S19">
        <v>1.9643992371265E-2</v>
      </c>
      <c r="T19">
        <v>1.19744235613253E-2</v>
      </c>
      <c r="U19">
        <v>9.0723426487238394E-5</v>
      </c>
      <c r="V19">
        <v>1.3695407848465701E-4</v>
      </c>
      <c r="W19">
        <v>1.22021010662972E-2</v>
      </c>
      <c r="X19">
        <v>1.1085402965681499E-2</v>
      </c>
      <c r="Y19">
        <v>1128.78981412292</v>
      </c>
      <c r="Z19">
        <v>72054.681816044307</v>
      </c>
      <c r="AA19">
        <v>862.81327964183902</v>
      </c>
      <c r="AB19">
        <v>6.5370476287992503</v>
      </c>
      <c r="AC19">
        <v>9.8681825486214798</v>
      </c>
      <c r="AD19">
        <v>879.21850981926002</v>
      </c>
      <c r="AE19">
        <v>2</v>
      </c>
      <c r="AF19">
        <v>4</v>
      </c>
      <c r="AG19" t="s">
        <v>354</v>
      </c>
      <c r="AH19">
        <v>862.81327964183902</v>
      </c>
      <c r="AI19" t="s">
        <v>355</v>
      </c>
    </row>
    <row r="20" spans="1:35" x14ac:dyDescent="0.25">
      <c r="A20" t="s">
        <v>267</v>
      </c>
      <c r="B20" t="s">
        <v>232</v>
      </c>
      <c r="C20" t="s">
        <v>271</v>
      </c>
      <c r="D20" t="s">
        <v>270</v>
      </c>
      <c r="E20" t="s">
        <v>356</v>
      </c>
      <c r="F20">
        <v>197</v>
      </c>
      <c r="G20">
        <v>138</v>
      </c>
      <c r="H20">
        <v>296</v>
      </c>
      <c r="I20">
        <v>202.5</v>
      </c>
      <c r="J20">
        <v>248</v>
      </c>
      <c r="K20">
        <v>164.25</v>
      </c>
      <c r="L20">
        <v>397</v>
      </c>
      <c r="M20">
        <v>256.5</v>
      </c>
      <c r="N20">
        <v>0.74559193954659997</v>
      </c>
      <c r="O20">
        <v>0.78947368421052599</v>
      </c>
      <c r="P20">
        <v>0.66554054054054101</v>
      </c>
      <c r="Q20">
        <v>0.68148148148148102</v>
      </c>
      <c r="R20">
        <v>4.3881744663926803E-2</v>
      </c>
      <c r="S20">
        <v>2.39518706523782E-2</v>
      </c>
      <c r="T20">
        <v>1.18854370743539E-2</v>
      </c>
      <c r="U20">
        <v>1.10536637518782E-3</v>
      </c>
      <c r="V20">
        <v>6.99516300073105E-4</v>
      </c>
      <c r="W20">
        <v>1.36903197496148E-2</v>
      </c>
      <c r="X20">
        <v>1.88572301665079E-2</v>
      </c>
      <c r="Y20">
        <v>1128.78981412292</v>
      </c>
      <c r="Z20">
        <v>72054.681816044307</v>
      </c>
      <c r="AA20">
        <v>856.40138663718801</v>
      </c>
      <c r="AB20">
        <v>79.646822454312698</v>
      </c>
      <c r="AC20">
        <v>50.403424426904202</v>
      </c>
      <c r="AD20">
        <v>986.45163351840495</v>
      </c>
      <c r="AE20">
        <v>3</v>
      </c>
      <c r="AF20">
        <v>4</v>
      </c>
      <c r="AG20" t="s">
        <v>357</v>
      </c>
      <c r="AH20">
        <v>856.40138663718801</v>
      </c>
      <c r="AI20" t="s">
        <v>358</v>
      </c>
    </row>
    <row r="21" spans="1:35" x14ac:dyDescent="0.25">
      <c r="A21" t="s">
        <v>267</v>
      </c>
      <c r="B21" t="s">
        <v>232</v>
      </c>
      <c r="C21" t="s">
        <v>262</v>
      </c>
      <c r="D21" t="s">
        <v>261</v>
      </c>
      <c r="E21" t="s">
        <v>334</v>
      </c>
      <c r="F21">
        <v>183</v>
      </c>
      <c r="G21">
        <v>126.75</v>
      </c>
      <c r="H21">
        <v>296</v>
      </c>
      <c r="I21">
        <v>194.25</v>
      </c>
      <c r="J21">
        <v>248</v>
      </c>
      <c r="K21">
        <v>164.25</v>
      </c>
      <c r="L21">
        <v>397</v>
      </c>
      <c r="M21">
        <v>256.5</v>
      </c>
      <c r="N21">
        <v>0.74559193954659997</v>
      </c>
      <c r="O21">
        <v>0.75730994152046804</v>
      </c>
      <c r="P21">
        <v>0.61824324324324298</v>
      </c>
      <c r="Q21">
        <v>0.65250965250965298</v>
      </c>
      <c r="R21">
        <v>1.1718001973868301E-2</v>
      </c>
      <c r="S21">
        <v>5.5425448868071901E-2</v>
      </c>
      <c r="T21">
        <v>2.5548758546239701E-2</v>
      </c>
      <c r="U21">
        <v>-2.5905729826060202E-4</v>
      </c>
      <c r="V21">
        <v>4.0153385142116402E-4</v>
      </c>
      <c r="W21">
        <v>2.56912350994003E-2</v>
      </c>
      <c r="X21">
        <v>1.50786665915191E-2</v>
      </c>
      <c r="Y21">
        <v>1128.78981412292</v>
      </c>
      <c r="Z21">
        <v>72054.681816044307</v>
      </c>
      <c r="AA21">
        <v>1840.90766784424</v>
      </c>
      <c r="AB21">
        <v>-18.666291198291798</v>
      </c>
      <c r="AC21">
        <v>28.932393902522701</v>
      </c>
      <c r="AD21">
        <v>1851.17377054847</v>
      </c>
      <c r="AE21">
        <v>4</v>
      </c>
      <c r="AF21">
        <v>4</v>
      </c>
      <c r="AG21" t="s">
        <v>268</v>
      </c>
      <c r="AH21">
        <v>1840.90766784424</v>
      </c>
      <c r="AI21" t="s">
        <v>359</v>
      </c>
    </row>
    <row r="22" spans="1:35" x14ac:dyDescent="0.25">
      <c r="A22" t="s">
        <v>267</v>
      </c>
      <c r="B22" t="s">
        <v>232</v>
      </c>
      <c r="C22" t="s">
        <v>311</v>
      </c>
      <c r="D22" t="s">
        <v>324</v>
      </c>
      <c r="E22" t="s">
        <v>360</v>
      </c>
      <c r="F22">
        <v>109</v>
      </c>
      <c r="G22">
        <v>80.25</v>
      </c>
      <c r="H22">
        <v>149</v>
      </c>
      <c r="I22">
        <v>106.5</v>
      </c>
      <c r="J22">
        <v>248</v>
      </c>
      <c r="K22">
        <v>164.25</v>
      </c>
      <c r="L22">
        <v>397</v>
      </c>
      <c r="M22">
        <v>256.5</v>
      </c>
      <c r="N22">
        <v>0.37531486146095699</v>
      </c>
      <c r="O22">
        <v>0.41520467836257302</v>
      </c>
      <c r="P22">
        <v>0.73154362416107399</v>
      </c>
      <c r="Q22">
        <v>0.75352112676056304</v>
      </c>
      <c r="R22">
        <v>3.9889816901615902E-2</v>
      </c>
      <c r="S22">
        <v>3.00426411681094E-2</v>
      </c>
      <c r="T22">
        <v>8.2484833433852291E-3</v>
      </c>
      <c r="U22">
        <v>3.6376619793125598E-3</v>
      </c>
      <c r="V22">
        <v>8.7667855464842396E-4</v>
      </c>
      <c r="W22">
        <v>1.27628238773462E-2</v>
      </c>
      <c r="X22">
        <v>-1.5825097584203401E-2</v>
      </c>
      <c r="Y22">
        <v>1128.78981412292</v>
      </c>
      <c r="Z22">
        <v>72054.681816044307</v>
      </c>
      <c r="AA22">
        <v>594.34184277256304</v>
      </c>
      <c r="AB22">
        <v>262.11057647368801</v>
      </c>
      <c r="AC22">
        <v>63.168794310141799</v>
      </c>
      <c r="AD22">
        <v>919.62121355639295</v>
      </c>
      <c r="AE22">
        <v>5</v>
      </c>
      <c r="AF22">
        <v>4</v>
      </c>
      <c r="AG22" t="s">
        <v>361</v>
      </c>
      <c r="AH22">
        <v>594.34184277256304</v>
      </c>
      <c r="AI22" t="s">
        <v>362</v>
      </c>
    </row>
    <row r="23" spans="1:35" x14ac:dyDescent="0.25">
      <c r="A23" t="s">
        <v>269</v>
      </c>
      <c r="B23" t="s">
        <v>234</v>
      </c>
      <c r="C23" t="s">
        <v>258</v>
      </c>
      <c r="D23" t="s">
        <v>257</v>
      </c>
      <c r="E23" t="s">
        <v>289</v>
      </c>
      <c r="F23">
        <v>38393.370000000003</v>
      </c>
      <c r="G23">
        <v>30301.31</v>
      </c>
      <c r="H23">
        <v>195</v>
      </c>
      <c r="I23">
        <v>135.75</v>
      </c>
      <c r="J23">
        <v>45548.86</v>
      </c>
      <c r="K23">
        <v>32747.01</v>
      </c>
      <c r="L23">
        <v>248</v>
      </c>
      <c r="M23">
        <v>164.25</v>
      </c>
      <c r="N23">
        <v>0.78629032258064502</v>
      </c>
      <c r="O23">
        <v>0.82648401826483997</v>
      </c>
      <c r="P23">
        <v>196.889076923077</v>
      </c>
      <c r="Q23">
        <v>223.214069981584</v>
      </c>
      <c r="R23">
        <v>4.0193695684195098E-2</v>
      </c>
      <c r="S23">
        <v>0.13370469032566901</v>
      </c>
      <c r="T23">
        <v>20.6990872839066</v>
      </c>
      <c r="U23">
        <v>-9.9836763526796504E-2</v>
      </c>
      <c r="V23">
        <v>1.0580987598821701</v>
      </c>
      <c r="W23">
        <v>21.657349280262</v>
      </c>
      <c r="X23">
        <v>9.9947772480643096</v>
      </c>
      <c r="Y23">
        <v>3849.6765853698098</v>
      </c>
      <c r="Z23">
        <v>245.07417409294601</v>
      </c>
      <c r="AA23">
        <v>5072.8117205812196</v>
      </c>
      <c r="AB23">
        <v>-24.467412365442499</v>
      </c>
      <c r="AC23">
        <v>259.312679686894</v>
      </c>
      <c r="AD23">
        <v>5307.6569879026702</v>
      </c>
      <c r="AE23">
        <v>1</v>
      </c>
      <c r="AF23">
        <v>5</v>
      </c>
      <c r="AG23" t="s">
        <v>363</v>
      </c>
      <c r="AH23">
        <v>5072.8117205812196</v>
      </c>
      <c r="AI23" t="s">
        <v>364</v>
      </c>
    </row>
    <row r="24" spans="1:35" x14ac:dyDescent="0.25">
      <c r="A24" t="s">
        <v>269</v>
      </c>
      <c r="B24" t="s">
        <v>234</v>
      </c>
      <c r="C24" t="s">
        <v>314</v>
      </c>
      <c r="D24" t="s">
        <v>315</v>
      </c>
      <c r="E24" t="s">
        <v>353</v>
      </c>
      <c r="F24">
        <v>45420.44</v>
      </c>
      <c r="G24">
        <v>32631.54</v>
      </c>
      <c r="H24">
        <v>242</v>
      </c>
      <c r="I24">
        <v>161.25</v>
      </c>
      <c r="J24">
        <v>45548.86</v>
      </c>
      <c r="K24">
        <v>32747.01</v>
      </c>
      <c r="L24">
        <v>248</v>
      </c>
      <c r="M24">
        <v>164.25</v>
      </c>
      <c r="N24">
        <v>0.97580645161290303</v>
      </c>
      <c r="O24">
        <v>0.98173515981735204</v>
      </c>
      <c r="P24">
        <v>187.68776859504101</v>
      </c>
      <c r="Q24">
        <v>202.36613953488401</v>
      </c>
      <c r="R24">
        <v>5.9287082044483502E-3</v>
      </c>
      <c r="S24">
        <v>7.8206326654736605E-2</v>
      </c>
      <c r="T24">
        <v>14.323249062265599</v>
      </c>
      <c r="U24">
        <v>-6.9278137799367506E-2</v>
      </c>
      <c r="V24">
        <v>8.7023778218979997E-2</v>
      </c>
      <c r="W24">
        <v>14.340994702685199</v>
      </c>
      <c r="X24">
        <v>14.736636159039801</v>
      </c>
      <c r="Y24">
        <v>3849.6765853698098</v>
      </c>
      <c r="Z24">
        <v>245.07417409294601</v>
      </c>
      <c r="AA24">
        <v>3510.2584342623099</v>
      </c>
      <c r="AB24">
        <v>-16.978282403877301</v>
      </c>
      <c r="AC24">
        <v>21.3272805734643</v>
      </c>
      <c r="AD24">
        <v>3514.6074324318902</v>
      </c>
      <c r="AE24">
        <v>2</v>
      </c>
      <c r="AF24">
        <v>5</v>
      </c>
      <c r="AG24" t="s">
        <v>365</v>
      </c>
      <c r="AH24">
        <v>3510.2584342623099</v>
      </c>
      <c r="AI24" t="s">
        <v>366</v>
      </c>
    </row>
    <row r="25" spans="1:35" x14ac:dyDescent="0.25">
      <c r="A25" t="s">
        <v>269</v>
      </c>
      <c r="B25" t="s">
        <v>234</v>
      </c>
      <c r="C25" t="s">
        <v>271</v>
      </c>
      <c r="D25" t="s">
        <v>270</v>
      </c>
      <c r="E25" t="s">
        <v>318</v>
      </c>
      <c r="F25">
        <v>8298.66</v>
      </c>
      <c r="G25">
        <v>6492.8</v>
      </c>
      <c r="H25">
        <v>41</v>
      </c>
      <c r="I25">
        <v>21</v>
      </c>
      <c r="J25">
        <v>45548.86</v>
      </c>
      <c r="K25">
        <v>32747.01</v>
      </c>
      <c r="L25">
        <v>248</v>
      </c>
      <c r="M25">
        <v>164.25</v>
      </c>
      <c r="N25">
        <v>0.165322580645161</v>
      </c>
      <c r="O25">
        <v>0.127853881278539</v>
      </c>
      <c r="P25">
        <v>202.406341463415</v>
      </c>
      <c r="Q25">
        <v>309.18095238095202</v>
      </c>
      <c r="R25">
        <v>-3.7468699366622497E-2</v>
      </c>
      <c r="S25">
        <v>0.52752601596149795</v>
      </c>
      <c r="T25">
        <v>17.652254224270401</v>
      </c>
      <c r="U25">
        <v>-0.113656556998654</v>
      </c>
      <c r="V25">
        <v>-4.0007057964573098</v>
      </c>
      <c r="W25">
        <v>13.5378918708144</v>
      </c>
      <c r="X25">
        <v>19.230840012021599</v>
      </c>
      <c r="Y25">
        <v>3849.6765853698098</v>
      </c>
      <c r="Z25">
        <v>245.074174092947</v>
      </c>
      <c r="AA25">
        <v>4326.1116248917897</v>
      </c>
      <c r="AB25">
        <v>-27.854286836693099</v>
      </c>
      <c r="AC25">
        <v>-980.46966885563995</v>
      </c>
      <c r="AD25">
        <v>3317.7876691994602</v>
      </c>
      <c r="AE25">
        <v>3</v>
      </c>
      <c r="AF25">
        <v>5</v>
      </c>
      <c r="AG25" t="s">
        <v>272</v>
      </c>
      <c r="AH25">
        <v>4326.1116248917897</v>
      </c>
      <c r="AI25" t="s">
        <v>367</v>
      </c>
    </row>
    <row r="26" spans="1:35" x14ac:dyDescent="0.25">
      <c r="A26" t="s">
        <v>269</v>
      </c>
      <c r="B26" t="s">
        <v>234</v>
      </c>
      <c r="C26" t="s">
        <v>262</v>
      </c>
      <c r="D26" t="s">
        <v>261</v>
      </c>
      <c r="E26" t="s">
        <v>334</v>
      </c>
      <c r="F26">
        <v>33096.480000000003</v>
      </c>
      <c r="G26">
        <v>26283.53</v>
      </c>
      <c r="H26">
        <v>183</v>
      </c>
      <c r="I26">
        <v>126.75</v>
      </c>
      <c r="J26">
        <v>45548.86</v>
      </c>
      <c r="K26">
        <v>32747.01</v>
      </c>
      <c r="L26">
        <v>248</v>
      </c>
      <c r="M26">
        <v>164.25</v>
      </c>
      <c r="N26">
        <v>0.73790322580645196</v>
      </c>
      <c r="O26">
        <v>0.77168949771689499</v>
      </c>
      <c r="P26">
        <v>180.85508196721301</v>
      </c>
      <c r="Q26">
        <v>207.365128205128</v>
      </c>
      <c r="R26">
        <v>3.3786271910443401E-2</v>
      </c>
      <c r="S26">
        <v>0.146581704807836</v>
      </c>
      <c r="T26">
        <v>19.561848635235702</v>
      </c>
      <c r="U26">
        <v>-0.62565033394453995</v>
      </c>
      <c r="V26">
        <v>0.895675630552625</v>
      </c>
      <c r="W26">
        <v>19.831873931843798</v>
      </c>
      <c r="X26">
        <v>14.5254991728701</v>
      </c>
      <c r="Y26">
        <v>3849.6765853698098</v>
      </c>
      <c r="Z26">
        <v>245.074174092947</v>
      </c>
      <c r="AA26">
        <v>4794.10389801164</v>
      </c>
      <c r="AB26">
        <v>-153.330738862435</v>
      </c>
      <c r="AC26">
        <v>219.50696541286399</v>
      </c>
      <c r="AD26">
        <v>4860.2801245620603</v>
      </c>
      <c r="AE26">
        <v>4</v>
      </c>
      <c r="AF26">
        <v>5</v>
      </c>
      <c r="AG26" t="s">
        <v>368</v>
      </c>
      <c r="AH26">
        <v>4794.10389801164</v>
      </c>
      <c r="AI26" t="s">
        <v>369</v>
      </c>
    </row>
    <row r="27" spans="1:35" x14ac:dyDescent="0.25">
      <c r="A27" t="s">
        <v>269</v>
      </c>
      <c r="B27" t="s">
        <v>234</v>
      </c>
      <c r="C27" t="s">
        <v>311</v>
      </c>
      <c r="D27" t="s">
        <v>324</v>
      </c>
      <c r="E27" t="s">
        <v>370</v>
      </c>
      <c r="F27">
        <v>7394.66</v>
      </c>
      <c r="G27">
        <v>6492.8</v>
      </c>
      <c r="H27">
        <v>36</v>
      </c>
      <c r="I27">
        <v>21</v>
      </c>
      <c r="J27">
        <v>45548.86</v>
      </c>
      <c r="K27">
        <v>32747.01</v>
      </c>
      <c r="L27">
        <v>248</v>
      </c>
      <c r="M27">
        <v>164.25</v>
      </c>
      <c r="N27">
        <v>0.14516129032258099</v>
      </c>
      <c r="O27">
        <v>0.127853881278539</v>
      </c>
      <c r="P27">
        <v>205.407222222222</v>
      </c>
      <c r="Q27">
        <v>309.18095238095202</v>
      </c>
      <c r="R27">
        <v>-1.7307409044041801E-2</v>
      </c>
      <c r="S27">
        <v>0.50520974401991203</v>
      </c>
      <c r="T27">
        <v>15.063928571428599</v>
      </c>
      <c r="U27">
        <v>-0.104437305467502</v>
      </c>
      <c r="V27">
        <v>-1.7960543958831601</v>
      </c>
      <c r="W27">
        <v>13.1634368700779</v>
      </c>
      <c r="X27">
        <v>3.60294296816304</v>
      </c>
      <c r="Y27">
        <v>3849.6765853698098</v>
      </c>
      <c r="Z27">
        <v>245.07417409294601</v>
      </c>
      <c r="AA27">
        <v>3691.7798532380002</v>
      </c>
      <c r="AB27">
        <v>-25.594886381940899</v>
      </c>
      <c r="AC27">
        <v>-440.16654769707202</v>
      </c>
      <c r="AD27">
        <v>3226.0184191589801</v>
      </c>
      <c r="AE27">
        <v>5</v>
      </c>
      <c r="AF27">
        <v>5</v>
      </c>
      <c r="AG27" t="s">
        <v>371</v>
      </c>
      <c r="AH27">
        <v>3691.7798532380002</v>
      </c>
      <c r="AI27" t="s">
        <v>372</v>
      </c>
    </row>
    <row r="28" spans="1:35" x14ac:dyDescent="0.25">
      <c r="A28" t="s">
        <v>373</v>
      </c>
      <c r="B28" t="s">
        <v>374</v>
      </c>
      <c r="C28" t="s">
        <v>258</v>
      </c>
      <c r="D28" t="s">
        <v>257</v>
      </c>
      <c r="E28" t="s">
        <v>291</v>
      </c>
      <c r="F28">
        <v>132.91</v>
      </c>
      <c r="G28">
        <v>387.68</v>
      </c>
      <c r="H28">
        <v>1</v>
      </c>
      <c r="I28">
        <v>1</v>
      </c>
      <c r="J28">
        <v>45548.86</v>
      </c>
      <c r="K28">
        <v>32747.01</v>
      </c>
      <c r="L28">
        <v>1</v>
      </c>
      <c r="M28">
        <v>1</v>
      </c>
      <c r="N28">
        <v>1</v>
      </c>
      <c r="O28">
        <v>1</v>
      </c>
      <c r="P28">
        <v>132.91</v>
      </c>
      <c r="Q28">
        <v>387.68</v>
      </c>
      <c r="R28">
        <v>0</v>
      </c>
      <c r="S28">
        <v>1.91686103378226</v>
      </c>
      <c r="T28">
        <v>254.77</v>
      </c>
      <c r="U28">
        <v>0</v>
      </c>
      <c r="V28">
        <v>0</v>
      </c>
      <c r="W28">
        <v>254.77</v>
      </c>
      <c r="X28">
        <v>-12801.85</v>
      </c>
      <c r="Y28">
        <v>-12952.8821951137</v>
      </c>
      <c r="Z28">
        <v>1.01179768510909</v>
      </c>
      <c r="AA28">
        <v>257.77569623524198</v>
      </c>
      <c r="AB28">
        <v>0</v>
      </c>
      <c r="AC28">
        <v>0</v>
      </c>
      <c r="AD28">
        <v>257.77569623524198</v>
      </c>
      <c r="AE28">
        <v>1</v>
      </c>
      <c r="AF28">
        <v>6</v>
      </c>
      <c r="AG28" t="s">
        <v>375</v>
      </c>
      <c r="AH28">
        <v>257.77569623524198</v>
      </c>
      <c r="AI28" t="s">
        <v>376</v>
      </c>
    </row>
    <row r="29" spans="1:35" x14ac:dyDescent="0.25">
      <c r="A29" t="s">
        <v>373</v>
      </c>
      <c r="B29" t="s">
        <v>374</v>
      </c>
      <c r="C29" t="s">
        <v>314</v>
      </c>
      <c r="D29" t="s">
        <v>315</v>
      </c>
      <c r="E29" t="s">
        <v>291</v>
      </c>
      <c r="F29">
        <v>128.41999999999999</v>
      </c>
      <c r="G29">
        <v>115.47</v>
      </c>
      <c r="H29">
        <v>1</v>
      </c>
      <c r="I29">
        <v>1</v>
      </c>
      <c r="J29">
        <v>45548.86</v>
      </c>
      <c r="K29">
        <v>32747.01</v>
      </c>
      <c r="L29">
        <v>1</v>
      </c>
      <c r="M29">
        <v>1</v>
      </c>
      <c r="N29">
        <v>1</v>
      </c>
      <c r="O29">
        <v>1</v>
      </c>
      <c r="P29">
        <v>128.41999999999999</v>
      </c>
      <c r="Q29">
        <v>115.47</v>
      </c>
      <c r="R29">
        <v>0</v>
      </c>
      <c r="S29">
        <v>-0.100840990499922</v>
      </c>
      <c r="T29">
        <v>-12.95</v>
      </c>
      <c r="U29">
        <v>0</v>
      </c>
      <c r="V29">
        <v>0</v>
      </c>
      <c r="W29">
        <v>-12.95</v>
      </c>
      <c r="X29">
        <v>-12801.85</v>
      </c>
      <c r="Y29">
        <v>-12952.8821951137</v>
      </c>
      <c r="Z29">
        <v>1.01179768510909</v>
      </c>
      <c r="AA29">
        <v>-13.1027800221626</v>
      </c>
      <c r="AB29">
        <v>0</v>
      </c>
      <c r="AC29">
        <v>0</v>
      </c>
      <c r="AD29">
        <v>-13.1027800221626</v>
      </c>
      <c r="AE29">
        <v>2</v>
      </c>
      <c r="AF29">
        <v>6</v>
      </c>
      <c r="AG29" t="s">
        <v>377</v>
      </c>
      <c r="AH29">
        <v>-13.1027800221626</v>
      </c>
      <c r="AI29" t="s">
        <v>378</v>
      </c>
    </row>
    <row r="30" spans="1:35" x14ac:dyDescent="0.25">
      <c r="A30" t="s">
        <v>373</v>
      </c>
      <c r="B30" t="s">
        <v>374</v>
      </c>
      <c r="C30" t="s">
        <v>271</v>
      </c>
      <c r="D30" t="s">
        <v>270</v>
      </c>
      <c r="E30" t="s">
        <v>291</v>
      </c>
      <c r="F30">
        <v>1446.09</v>
      </c>
      <c r="G30">
        <v>341.25</v>
      </c>
      <c r="H30">
        <v>1</v>
      </c>
      <c r="I30">
        <v>1</v>
      </c>
      <c r="J30">
        <v>45548.86</v>
      </c>
      <c r="K30">
        <v>32747.01</v>
      </c>
      <c r="L30">
        <v>1</v>
      </c>
      <c r="M30">
        <v>1</v>
      </c>
      <c r="N30">
        <v>1</v>
      </c>
      <c r="O30">
        <v>1</v>
      </c>
      <c r="P30">
        <v>1446.09</v>
      </c>
      <c r="Q30">
        <v>341.25</v>
      </c>
      <c r="R30">
        <v>0</v>
      </c>
      <c r="S30">
        <v>-0.76401883700184603</v>
      </c>
      <c r="T30">
        <v>-1104.8399999999999</v>
      </c>
      <c r="U30">
        <v>0</v>
      </c>
      <c r="V30">
        <v>0</v>
      </c>
      <c r="W30">
        <v>-1104.8399999999999</v>
      </c>
      <c r="X30">
        <v>-12801.85</v>
      </c>
      <c r="Y30">
        <v>-12952.8821951137</v>
      </c>
      <c r="Z30">
        <v>1.01179768510908</v>
      </c>
      <c r="AA30">
        <v>-1117.8745544159201</v>
      </c>
      <c r="AB30">
        <v>0</v>
      </c>
      <c r="AC30">
        <v>0</v>
      </c>
      <c r="AD30">
        <v>-1117.8745544159201</v>
      </c>
      <c r="AE30">
        <v>3</v>
      </c>
      <c r="AF30">
        <v>6</v>
      </c>
      <c r="AG30" t="s">
        <v>379</v>
      </c>
      <c r="AH30">
        <v>-1117.8745544159201</v>
      </c>
      <c r="AI30" t="s">
        <v>380</v>
      </c>
    </row>
    <row r="31" spans="1:35" x14ac:dyDescent="0.25">
      <c r="A31" t="s">
        <v>373</v>
      </c>
      <c r="B31" t="s">
        <v>374</v>
      </c>
      <c r="C31" t="s">
        <v>262</v>
      </c>
      <c r="D31" t="s">
        <v>261</v>
      </c>
      <c r="E31" t="s">
        <v>321</v>
      </c>
      <c r="F31">
        <v>12452.38</v>
      </c>
      <c r="G31">
        <v>6463.48</v>
      </c>
      <c r="H31">
        <v>1</v>
      </c>
      <c r="I31">
        <v>1</v>
      </c>
      <c r="J31">
        <v>45548.86</v>
      </c>
      <c r="K31">
        <v>32747.01</v>
      </c>
      <c r="L31">
        <v>1</v>
      </c>
      <c r="M31">
        <v>1</v>
      </c>
      <c r="N31">
        <v>1</v>
      </c>
      <c r="O31">
        <v>1</v>
      </c>
      <c r="P31">
        <v>12452.38</v>
      </c>
      <c r="Q31">
        <v>6463.48</v>
      </c>
      <c r="R31">
        <v>0</v>
      </c>
      <c r="S31">
        <v>-0.48094420504353402</v>
      </c>
      <c r="T31">
        <v>-5988.9</v>
      </c>
      <c r="U31">
        <v>0</v>
      </c>
      <c r="V31">
        <v>0</v>
      </c>
      <c r="W31">
        <v>-5988.9</v>
      </c>
      <c r="X31">
        <v>-12801.85</v>
      </c>
      <c r="Y31">
        <v>-12952.8821951137</v>
      </c>
      <c r="Z31">
        <v>1.01179768510908</v>
      </c>
      <c r="AA31">
        <v>-6059.5551563498002</v>
      </c>
      <c r="AB31">
        <v>0</v>
      </c>
      <c r="AC31">
        <v>0</v>
      </c>
      <c r="AD31">
        <v>-6059.5551563498002</v>
      </c>
      <c r="AE31">
        <v>4</v>
      </c>
      <c r="AF31">
        <v>6</v>
      </c>
      <c r="AG31" t="s">
        <v>381</v>
      </c>
      <c r="AH31">
        <v>-6059.5551563498002</v>
      </c>
      <c r="AI31" t="s">
        <v>382</v>
      </c>
    </row>
    <row r="32" spans="1:35" x14ac:dyDescent="0.25">
      <c r="A32" t="s">
        <v>373</v>
      </c>
      <c r="B32" t="s">
        <v>374</v>
      </c>
      <c r="C32" t="s">
        <v>311</v>
      </c>
      <c r="D32" t="s">
        <v>324</v>
      </c>
      <c r="E32" t="s">
        <v>383</v>
      </c>
      <c r="F32">
        <v>0</v>
      </c>
      <c r="G32">
        <v>514</v>
      </c>
      <c r="H32">
        <v>1</v>
      </c>
      <c r="I32">
        <v>1</v>
      </c>
      <c r="J32">
        <v>45548.86</v>
      </c>
      <c r="K32">
        <v>32747.01</v>
      </c>
      <c r="L32">
        <v>1</v>
      </c>
      <c r="M32">
        <v>1</v>
      </c>
      <c r="N32">
        <v>1</v>
      </c>
      <c r="O32">
        <v>1</v>
      </c>
      <c r="P32">
        <v>0</v>
      </c>
      <c r="Q32">
        <v>514</v>
      </c>
      <c r="R32">
        <v>0</v>
      </c>
      <c r="S32">
        <v>0</v>
      </c>
      <c r="T32">
        <v>514</v>
      </c>
      <c r="U32">
        <v>0</v>
      </c>
      <c r="V32">
        <v>0</v>
      </c>
      <c r="W32">
        <v>514</v>
      </c>
      <c r="X32">
        <v>-12801.85</v>
      </c>
      <c r="Y32">
        <v>-12952.8821951137</v>
      </c>
      <c r="Z32">
        <v>1.01179768510909</v>
      </c>
      <c r="AA32">
        <v>520.06401014607002</v>
      </c>
      <c r="AB32">
        <v>0</v>
      </c>
      <c r="AC32">
        <v>0</v>
      </c>
      <c r="AD32">
        <v>520.06401014607002</v>
      </c>
      <c r="AE32">
        <v>5</v>
      </c>
      <c r="AF32">
        <v>6</v>
      </c>
      <c r="AG32" t="s">
        <v>384</v>
      </c>
      <c r="AH32">
        <v>520.06401014607002</v>
      </c>
      <c r="AI32" t="s">
        <v>385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0000FF"/>
  </sheetPr>
  <dimension ref="A1:AJ32"/>
  <sheetViews>
    <sheetView workbookViewId="0"/>
  </sheetViews>
  <sheetFormatPr defaultRowHeight="15" x14ac:dyDescent="0.25"/>
  <sheetData>
    <row r="1" spans="1:36" x14ac:dyDescent="0.25">
      <c r="A1" t="s">
        <v>241</v>
      </c>
      <c r="B1" t="s">
        <v>297</v>
      </c>
      <c r="C1" t="s">
        <v>243</v>
      </c>
      <c r="D1" t="s">
        <v>242</v>
      </c>
      <c r="E1" t="s">
        <v>273</v>
      </c>
      <c r="F1" t="s">
        <v>274</v>
      </c>
      <c r="G1" t="s">
        <v>276</v>
      </c>
      <c r="H1" t="s">
        <v>275</v>
      </c>
      <c r="I1" t="s">
        <v>277</v>
      </c>
      <c r="J1" t="s">
        <v>298</v>
      </c>
      <c r="K1" t="s">
        <v>299</v>
      </c>
      <c r="L1" t="s">
        <v>300</v>
      </c>
      <c r="M1" t="s">
        <v>301</v>
      </c>
      <c r="N1" t="s">
        <v>278</v>
      </c>
      <c r="O1" t="s">
        <v>279</v>
      </c>
      <c r="P1" t="s">
        <v>211</v>
      </c>
      <c r="Q1" t="s">
        <v>212</v>
      </c>
      <c r="R1" t="s">
        <v>280</v>
      </c>
      <c r="S1" t="s">
        <v>281</v>
      </c>
      <c r="T1" t="s">
        <v>282</v>
      </c>
      <c r="U1" t="s">
        <v>283</v>
      </c>
      <c r="V1" t="s">
        <v>284</v>
      </c>
      <c r="W1" t="s">
        <v>285</v>
      </c>
      <c r="X1" t="s">
        <v>302</v>
      </c>
      <c r="Y1" t="s">
        <v>303</v>
      </c>
      <c r="Z1" t="s">
        <v>304</v>
      </c>
      <c r="AA1" t="s">
        <v>286</v>
      </c>
      <c r="AB1" t="s">
        <v>244</v>
      </c>
      <c r="AC1" t="s">
        <v>287</v>
      </c>
      <c r="AD1" t="s">
        <v>247</v>
      </c>
      <c r="AE1" t="s">
        <v>305</v>
      </c>
      <c r="AF1" t="s">
        <v>306</v>
      </c>
      <c r="AG1" t="s">
        <v>307</v>
      </c>
      <c r="AH1" t="s">
        <v>308</v>
      </c>
      <c r="AI1" t="s">
        <v>386</v>
      </c>
      <c r="AJ1" t="s">
        <v>309</v>
      </c>
    </row>
    <row r="2" spans="1:36" x14ac:dyDescent="0.25">
      <c r="A2" t="s">
        <v>310</v>
      </c>
      <c r="B2" t="s">
        <v>224</v>
      </c>
      <c r="C2" t="s">
        <v>311</v>
      </c>
    </row>
    <row r="3" spans="1:36" x14ac:dyDescent="0.25">
      <c r="A3" t="s">
        <v>256</v>
      </c>
      <c r="B3" t="s">
        <v>226</v>
      </c>
      <c r="C3" t="s">
        <v>258</v>
      </c>
      <c r="D3" t="s">
        <v>257</v>
      </c>
      <c r="E3" t="s">
        <v>289</v>
      </c>
      <c r="F3">
        <v>3441</v>
      </c>
      <c r="G3">
        <v>2633</v>
      </c>
      <c r="H3">
        <v>1</v>
      </c>
      <c r="I3">
        <v>1</v>
      </c>
      <c r="J3">
        <v>9180</v>
      </c>
      <c r="K3">
        <v>8105</v>
      </c>
      <c r="L3">
        <v>1</v>
      </c>
      <c r="M3">
        <v>1</v>
      </c>
      <c r="N3">
        <v>1</v>
      </c>
      <c r="O3">
        <v>1</v>
      </c>
      <c r="P3">
        <v>3441</v>
      </c>
      <c r="Q3">
        <v>2633</v>
      </c>
      <c r="R3">
        <v>0</v>
      </c>
      <c r="S3">
        <v>-0.234815460621912</v>
      </c>
      <c r="T3">
        <v>-808</v>
      </c>
      <c r="U3">
        <v>0</v>
      </c>
      <c r="V3">
        <v>0</v>
      </c>
      <c r="W3">
        <v>-808</v>
      </c>
      <c r="X3">
        <v>-1075</v>
      </c>
      <c r="Y3">
        <v>-5396.8081089770803</v>
      </c>
      <c r="Z3">
        <v>5.0202866130019403</v>
      </c>
      <c r="AA3">
        <v>-4056.3915833055598</v>
      </c>
      <c r="AB3">
        <v>0</v>
      </c>
      <c r="AC3">
        <v>0</v>
      </c>
      <c r="AD3">
        <v>-4056.3915833055598</v>
      </c>
      <c r="AE3">
        <v>1</v>
      </c>
      <c r="AF3">
        <v>1</v>
      </c>
      <c r="AG3" t="s">
        <v>259</v>
      </c>
      <c r="AH3">
        <v>321.29834323212401</v>
      </c>
      <c r="AI3">
        <v>-4056.3915833055598</v>
      </c>
      <c r="AJ3" t="s">
        <v>313</v>
      </c>
    </row>
    <row r="4" spans="1:36" x14ac:dyDescent="0.25">
      <c r="A4" t="s">
        <v>256</v>
      </c>
      <c r="B4" t="s">
        <v>226</v>
      </c>
      <c r="C4" t="s">
        <v>314</v>
      </c>
      <c r="D4" t="s">
        <v>315</v>
      </c>
      <c r="E4" t="s">
        <v>353</v>
      </c>
      <c r="F4">
        <v>6819</v>
      </c>
      <c r="G4">
        <v>5777</v>
      </c>
      <c r="H4">
        <v>1</v>
      </c>
      <c r="I4">
        <v>1</v>
      </c>
      <c r="J4">
        <v>9180</v>
      </c>
      <c r="K4">
        <v>8105</v>
      </c>
      <c r="L4">
        <v>1</v>
      </c>
      <c r="M4">
        <v>1</v>
      </c>
      <c r="N4">
        <v>1</v>
      </c>
      <c r="O4">
        <v>1</v>
      </c>
      <c r="P4">
        <v>6819</v>
      </c>
      <c r="Q4">
        <v>5777</v>
      </c>
      <c r="R4">
        <v>0</v>
      </c>
      <c r="S4">
        <v>-0.152808329667107</v>
      </c>
      <c r="T4">
        <v>-1042</v>
      </c>
      <c r="U4">
        <v>0</v>
      </c>
      <c r="V4">
        <v>0</v>
      </c>
      <c r="W4">
        <v>-1042</v>
      </c>
      <c r="X4">
        <v>-1075</v>
      </c>
      <c r="Y4">
        <v>-5396.8081089770803</v>
      </c>
      <c r="Z4">
        <v>5.0202866130019403</v>
      </c>
      <c r="AA4">
        <v>-5231.1386507480202</v>
      </c>
      <c r="AB4">
        <v>0</v>
      </c>
      <c r="AC4">
        <v>0</v>
      </c>
      <c r="AD4">
        <v>-5231.1386507480202</v>
      </c>
      <c r="AE4">
        <v>2</v>
      </c>
      <c r="AF4">
        <v>1</v>
      </c>
      <c r="AG4" t="s">
        <v>387</v>
      </c>
      <c r="AH4">
        <v>-165.66945822906399</v>
      </c>
      <c r="AI4">
        <v>-5231.1386507480202</v>
      </c>
      <c r="AJ4" t="s">
        <v>317</v>
      </c>
    </row>
    <row r="5" spans="1:36" x14ac:dyDescent="0.25">
      <c r="A5" t="s">
        <v>256</v>
      </c>
      <c r="B5" t="s">
        <v>226</v>
      </c>
      <c r="C5" t="s">
        <v>271</v>
      </c>
      <c r="D5" t="s">
        <v>270</v>
      </c>
      <c r="E5" t="s">
        <v>291</v>
      </c>
      <c r="F5">
        <v>3696</v>
      </c>
      <c r="G5">
        <v>2871</v>
      </c>
      <c r="H5">
        <v>1</v>
      </c>
      <c r="I5">
        <v>1</v>
      </c>
      <c r="J5">
        <v>9180</v>
      </c>
      <c r="K5">
        <v>8105</v>
      </c>
      <c r="L5">
        <v>1</v>
      </c>
      <c r="M5">
        <v>1</v>
      </c>
      <c r="N5">
        <v>1</v>
      </c>
      <c r="O5">
        <v>1</v>
      </c>
      <c r="P5">
        <v>3696</v>
      </c>
      <c r="Q5">
        <v>2871</v>
      </c>
      <c r="R5">
        <v>0</v>
      </c>
      <c r="S5">
        <v>-0.223214285714286</v>
      </c>
      <c r="T5">
        <v>-825</v>
      </c>
      <c r="U5">
        <v>0</v>
      </c>
      <c r="V5">
        <v>0</v>
      </c>
      <c r="W5">
        <v>-825</v>
      </c>
      <c r="X5">
        <v>-1075</v>
      </c>
      <c r="Y5">
        <v>-5396.8081089770803</v>
      </c>
      <c r="Z5">
        <v>5.0202866130019403</v>
      </c>
      <c r="AA5">
        <v>-4141.7364557266001</v>
      </c>
      <c r="AB5">
        <v>0</v>
      </c>
      <c r="AC5">
        <v>0</v>
      </c>
      <c r="AD5">
        <v>-4141.7364557266001</v>
      </c>
      <c r="AE5">
        <v>3</v>
      </c>
      <c r="AF5">
        <v>1</v>
      </c>
      <c r="AG5" t="s">
        <v>388</v>
      </c>
      <c r="AH5">
        <v>-602.43439356023202</v>
      </c>
      <c r="AI5">
        <v>-4141.7364557266001</v>
      </c>
      <c r="AJ5" t="s">
        <v>320</v>
      </c>
    </row>
    <row r="6" spans="1:36" x14ac:dyDescent="0.25">
      <c r="A6" t="s">
        <v>256</v>
      </c>
      <c r="B6" t="s">
        <v>226</v>
      </c>
      <c r="C6" t="s">
        <v>262</v>
      </c>
      <c r="D6" t="s">
        <v>261</v>
      </c>
      <c r="E6" t="s">
        <v>334</v>
      </c>
      <c r="F6">
        <v>6721</v>
      </c>
      <c r="G6">
        <v>5703</v>
      </c>
      <c r="H6">
        <v>1</v>
      </c>
      <c r="I6">
        <v>1</v>
      </c>
      <c r="J6">
        <v>9180</v>
      </c>
      <c r="K6">
        <v>8105</v>
      </c>
      <c r="L6">
        <v>1</v>
      </c>
      <c r="M6">
        <v>1</v>
      </c>
      <c r="N6">
        <v>1</v>
      </c>
      <c r="O6">
        <v>1</v>
      </c>
      <c r="P6">
        <v>6721</v>
      </c>
      <c r="Q6">
        <v>5703</v>
      </c>
      <c r="R6">
        <v>0</v>
      </c>
      <c r="S6">
        <v>-0.151465555720875</v>
      </c>
      <c r="T6">
        <v>-1018</v>
      </c>
      <c r="U6">
        <v>0</v>
      </c>
      <c r="V6">
        <v>0</v>
      </c>
      <c r="W6">
        <v>-1018</v>
      </c>
      <c r="X6">
        <v>-1075</v>
      </c>
      <c r="Y6">
        <v>-5396.8081089770803</v>
      </c>
      <c r="Z6">
        <v>5.0202866130019403</v>
      </c>
      <c r="AA6">
        <v>-5110.6517720359698</v>
      </c>
      <c r="AB6">
        <v>0</v>
      </c>
      <c r="AC6">
        <v>0</v>
      </c>
      <c r="AD6">
        <v>-5110.6517720359698</v>
      </c>
      <c r="AE6">
        <v>4</v>
      </c>
      <c r="AF6">
        <v>1</v>
      </c>
      <c r="AG6" t="s">
        <v>389</v>
      </c>
      <c r="AH6">
        <v>-286.15633694111</v>
      </c>
      <c r="AI6">
        <v>-5110.6517720359698</v>
      </c>
      <c r="AJ6" t="s">
        <v>323</v>
      </c>
    </row>
    <row r="7" spans="1:36" x14ac:dyDescent="0.25">
      <c r="A7" t="s">
        <v>256</v>
      </c>
      <c r="B7" t="s">
        <v>226</v>
      </c>
      <c r="C7" t="s">
        <v>311</v>
      </c>
      <c r="D7" t="s">
        <v>324</v>
      </c>
      <c r="E7" t="s">
        <v>348</v>
      </c>
      <c r="F7">
        <v>1427</v>
      </c>
      <c r="G7">
        <v>1086</v>
      </c>
      <c r="H7">
        <v>1</v>
      </c>
      <c r="I7">
        <v>1</v>
      </c>
      <c r="J7">
        <v>9180</v>
      </c>
      <c r="K7">
        <v>8105</v>
      </c>
      <c r="L7">
        <v>1</v>
      </c>
      <c r="M7">
        <v>1</v>
      </c>
      <c r="N7">
        <v>1</v>
      </c>
      <c r="O7">
        <v>1</v>
      </c>
      <c r="P7">
        <v>1427</v>
      </c>
      <c r="Q7">
        <v>1086</v>
      </c>
      <c r="R7">
        <v>0</v>
      </c>
      <c r="S7">
        <v>-0.23896285914505999</v>
      </c>
      <c r="T7">
        <v>-341</v>
      </c>
      <c r="U7">
        <v>0</v>
      </c>
      <c r="V7">
        <v>0</v>
      </c>
      <c r="W7">
        <v>-341</v>
      </c>
      <c r="X7">
        <v>-1075</v>
      </c>
      <c r="Y7">
        <v>-5396.8081089770803</v>
      </c>
      <c r="Z7">
        <v>5.0202866130019403</v>
      </c>
      <c r="AA7">
        <v>-1711.9177350336599</v>
      </c>
      <c r="AB7">
        <v>0</v>
      </c>
      <c r="AC7">
        <v>0</v>
      </c>
      <c r="AD7">
        <v>-1711.9177350336599</v>
      </c>
      <c r="AE7">
        <v>5</v>
      </c>
      <c r="AF7">
        <v>1</v>
      </c>
      <c r="AG7" t="s">
        <v>390</v>
      </c>
      <c r="AH7">
        <v>291.17662355411198</v>
      </c>
      <c r="AI7">
        <v>-1711.9177350336599</v>
      </c>
      <c r="AJ7" t="s">
        <v>327</v>
      </c>
    </row>
    <row r="8" spans="1:36" x14ac:dyDescent="0.25">
      <c r="A8" t="s">
        <v>260</v>
      </c>
      <c r="B8" t="s">
        <v>228</v>
      </c>
      <c r="C8" t="s">
        <v>258</v>
      </c>
      <c r="D8" t="s">
        <v>257</v>
      </c>
      <c r="E8" t="s">
        <v>289</v>
      </c>
      <c r="F8">
        <v>3605</v>
      </c>
      <c r="G8">
        <v>2723</v>
      </c>
      <c r="H8">
        <v>3441</v>
      </c>
      <c r="I8">
        <v>2633</v>
      </c>
      <c r="J8">
        <v>9635</v>
      </c>
      <c r="K8">
        <v>8491</v>
      </c>
      <c r="L8">
        <v>9180</v>
      </c>
      <c r="M8">
        <v>8105</v>
      </c>
      <c r="N8">
        <v>0.37483660130718999</v>
      </c>
      <c r="O8">
        <v>0.32486119679210401</v>
      </c>
      <c r="P8">
        <v>1.0476605637895999</v>
      </c>
      <c r="Q8">
        <v>1.0341815419673399</v>
      </c>
      <c r="R8">
        <v>-4.9975404515085899E-2</v>
      </c>
      <c r="S8">
        <v>-1.28658291512875E-2</v>
      </c>
      <c r="T8">
        <v>-5.0524307288008002E-3</v>
      </c>
      <c r="U8">
        <v>-1.78116851919704E-6</v>
      </c>
      <c r="V8">
        <v>6.7361956803503695E-4</v>
      </c>
      <c r="W8">
        <v>-4.3805923292849604E-3</v>
      </c>
      <c r="X8">
        <v>-3.4851858651426802E-3</v>
      </c>
      <c r="Y8">
        <v>-85.156487136903493</v>
      </c>
      <c r="Z8">
        <v>43909.870427147303</v>
      </c>
      <c r="AA8">
        <v>-221.85157864378101</v>
      </c>
      <c r="AB8">
        <v>-7.82108788868561E-2</v>
      </c>
      <c r="AC8">
        <v>29.578547949609401</v>
      </c>
      <c r="AD8">
        <v>-192.35124157305799</v>
      </c>
      <c r="AE8">
        <v>1</v>
      </c>
      <c r="AF8">
        <v>2</v>
      </c>
      <c r="AG8" t="s">
        <v>391</v>
      </c>
      <c r="AH8">
        <v>72.955966359249302</v>
      </c>
      <c r="AI8">
        <v>-221.85157864378101</v>
      </c>
      <c r="AJ8" t="s">
        <v>329</v>
      </c>
    </row>
    <row r="9" spans="1:36" x14ac:dyDescent="0.25">
      <c r="A9" t="s">
        <v>260</v>
      </c>
      <c r="B9" t="s">
        <v>228</v>
      </c>
      <c r="C9" t="s">
        <v>314</v>
      </c>
      <c r="D9" t="s">
        <v>315</v>
      </c>
      <c r="E9" t="s">
        <v>353</v>
      </c>
      <c r="F9">
        <v>7106</v>
      </c>
      <c r="G9">
        <v>5995</v>
      </c>
      <c r="H9">
        <v>6819</v>
      </c>
      <c r="I9">
        <v>5777</v>
      </c>
      <c r="J9">
        <v>9635</v>
      </c>
      <c r="K9">
        <v>8491</v>
      </c>
      <c r="L9">
        <v>9180</v>
      </c>
      <c r="M9">
        <v>8105</v>
      </c>
      <c r="N9">
        <v>0.74281045751634001</v>
      </c>
      <c r="O9">
        <v>0.71276989512646505</v>
      </c>
      <c r="P9">
        <v>1.0420882827394</v>
      </c>
      <c r="Q9">
        <v>1.0377358490566</v>
      </c>
      <c r="R9">
        <v>-3.0040562389874698E-2</v>
      </c>
      <c r="S9">
        <v>-4.1766458321164102E-3</v>
      </c>
      <c r="T9">
        <v>-3.23303325523088E-3</v>
      </c>
      <c r="U9">
        <v>1.6632378378732599E-4</v>
      </c>
      <c r="V9">
        <v>1.30749555595973E-4</v>
      </c>
      <c r="W9">
        <v>-2.9359599158475802E-3</v>
      </c>
      <c r="X9">
        <v>-2.9736167738616901E-3</v>
      </c>
      <c r="Y9">
        <v>-85.156487136903493</v>
      </c>
      <c r="Z9">
        <v>43909.870427147303</v>
      </c>
      <c r="AA9">
        <v>-141.962071323846</v>
      </c>
      <c r="AB9">
        <v>7.3032557950543202</v>
      </c>
      <c r="AC9">
        <v>5.7411960446262702</v>
      </c>
      <c r="AD9">
        <v>-128.91761948416499</v>
      </c>
      <c r="AE9">
        <v>2</v>
      </c>
      <c r="AF9">
        <v>2</v>
      </c>
      <c r="AG9" t="s">
        <v>392</v>
      </c>
      <c r="AH9">
        <v>11.390944083587399</v>
      </c>
      <c r="AI9">
        <v>-141.962071323846</v>
      </c>
      <c r="AJ9" t="s">
        <v>331</v>
      </c>
    </row>
    <row r="10" spans="1:36" x14ac:dyDescent="0.25">
      <c r="A10" t="s">
        <v>260</v>
      </c>
      <c r="B10" t="s">
        <v>228</v>
      </c>
      <c r="C10" t="s">
        <v>271</v>
      </c>
      <c r="D10" t="s">
        <v>270</v>
      </c>
      <c r="E10" t="s">
        <v>291</v>
      </c>
      <c r="F10">
        <v>3788</v>
      </c>
      <c r="G10">
        <v>2923</v>
      </c>
      <c r="H10">
        <v>3696</v>
      </c>
      <c r="I10">
        <v>2871</v>
      </c>
      <c r="J10">
        <v>9635</v>
      </c>
      <c r="K10">
        <v>8491</v>
      </c>
      <c r="L10">
        <v>9180</v>
      </c>
      <c r="M10">
        <v>8105</v>
      </c>
      <c r="N10">
        <v>0.402614379084967</v>
      </c>
      <c r="O10">
        <v>0.35422578655151099</v>
      </c>
      <c r="P10">
        <v>1.0248917748917701</v>
      </c>
      <c r="Q10">
        <v>1.0181121560431901</v>
      </c>
      <c r="R10">
        <v>-4.8388592533455899E-2</v>
      </c>
      <c r="S10">
        <v>-6.6149607350496397E-3</v>
      </c>
      <c r="T10">
        <v>-2.7295720331555798E-3</v>
      </c>
      <c r="U10">
        <v>1.1000250353488501E-3</v>
      </c>
      <c r="V10">
        <v>3.2805621399629097E-4</v>
      </c>
      <c r="W10">
        <v>-1.30149078381043E-3</v>
      </c>
      <c r="X10">
        <v>-3.6393826070883102E-3</v>
      </c>
      <c r="Y10">
        <v>-85.156487136903493</v>
      </c>
      <c r="Z10">
        <v>43909.870427147303</v>
      </c>
      <c r="AA10">
        <v>-119.855154297426</v>
      </c>
      <c r="AB10">
        <v>48.301956768786297</v>
      </c>
      <c r="AC10">
        <v>14.4049058493977</v>
      </c>
      <c r="AD10">
        <v>-57.148291679242398</v>
      </c>
      <c r="AE10">
        <v>3</v>
      </c>
      <c r="AF10">
        <v>2</v>
      </c>
      <c r="AG10" t="s">
        <v>388</v>
      </c>
      <c r="AH10">
        <v>30.995202654457</v>
      </c>
      <c r="AI10">
        <v>-119.855154297426</v>
      </c>
      <c r="AJ10" t="s">
        <v>333</v>
      </c>
    </row>
    <row r="11" spans="1:36" x14ac:dyDescent="0.25">
      <c r="A11" t="s">
        <v>260</v>
      </c>
      <c r="B11" t="s">
        <v>228</v>
      </c>
      <c r="C11" t="s">
        <v>262</v>
      </c>
      <c r="D11" t="s">
        <v>261</v>
      </c>
      <c r="E11" t="s">
        <v>321</v>
      </c>
      <c r="F11">
        <v>2612</v>
      </c>
      <c r="G11">
        <v>2503</v>
      </c>
      <c r="H11">
        <v>2459</v>
      </c>
      <c r="I11">
        <v>2402</v>
      </c>
      <c r="J11">
        <v>9635</v>
      </c>
      <c r="K11">
        <v>8491</v>
      </c>
      <c r="L11">
        <v>9180</v>
      </c>
      <c r="M11">
        <v>8105</v>
      </c>
      <c r="N11">
        <v>0.267864923747277</v>
      </c>
      <c r="O11">
        <v>0.29636027143738403</v>
      </c>
      <c r="P11">
        <v>1.0622204148027701</v>
      </c>
      <c r="Q11">
        <v>1.04204829308909</v>
      </c>
      <c r="R11">
        <v>2.84953476901076E-2</v>
      </c>
      <c r="S11">
        <v>-1.8990523466279399E-2</v>
      </c>
      <c r="T11">
        <v>-5.4034038446538002E-3</v>
      </c>
      <c r="U11">
        <v>4.1590361684485202E-4</v>
      </c>
      <c r="V11">
        <v>-5.7481162187828199E-4</v>
      </c>
      <c r="W11">
        <v>-5.5623118496872298E-3</v>
      </c>
      <c r="X11">
        <v>-1.7135100953485499E-3</v>
      </c>
      <c r="Y11">
        <v>-85.156487136903493</v>
      </c>
      <c r="Z11">
        <v>43909.870427147303</v>
      </c>
      <c r="AA11">
        <v>-237.262762684298</v>
      </c>
      <c r="AB11">
        <v>18.262273925839398</v>
      </c>
      <c r="AC11">
        <v>-25.239903836693699</v>
      </c>
      <c r="AD11">
        <v>-244.240392595152</v>
      </c>
      <c r="AE11">
        <v>4</v>
      </c>
      <c r="AF11">
        <v>2</v>
      </c>
      <c r="AG11" t="s">
        <v>263</v>
      </c>
      <c r="AH11">
        <v>162.02275642193499</v>
      </c>
      <c r="AI11">
        <v>-237.262762684298</v>
      </c>
      <c r="AJ11" t="s">
        <v>336</v>
      </c>
    </row>
    <row r="12" spans="1:36" x14ac:dyDescent="0.25">
      <c r="A12" t="s">
        <v>260</v>
      </c>
      <c r="B12" t="s">
        <v>228</v>
      </c>
      <c r="C12" t="s">
        <v>311</v>
      </c>
      <c r="D12" t="s">
        <v>324</v>
      </c>
      <c r="E12" t="s">
        <v>393</v>
      </c>
      <c r="F12">
        <v>58</v>
      </c>
      <c r="G12">
        <v>0</v>
      </c>
      <c r="H12">
        <v>58</v>
      </c>
      <c r="I12">
        <v>0</v>
      </c>
      <c r="J12">
        <v>9635</v>
      </c>
      <c r="K12">
        <v>8491</v>
      </c>
      <c r="L12">
        <v>9180</v>
      </c>
      <c r="M12">
        <v>8105</v>
      </c>
      <c r="N12">
        <v>6.31808278867102E-3</v>
      </c>
      <c r="O12">
        <v>0</v>
      </c>
      <c r="P12">
        <v>1</v>
      </c>
      <c r="Q12">
        <v>0</v>
      </c>
      <c r="R12">
        <v>-6.31808278867102E-3</v>
      </c>
      <c r="S12">
        <v>-1</v>
      </c>
      <c r="T12">
        <v>-6.31808278867102E-3</v>
      </c>
      <c r="U12">
        <v>3.0089820560481298E-4</v>
      </c>
      <c r="V12">
        <v>6.31808278867102E-3</v>
      </c>
      <c r="W12">
        <v>3.0089820560481298E-4</v>
      </c>
      <c r="X12">
        <v>-1.9803311511706299E-2</v>
      </c>
      <c r="Y12">
        <v>-85.156487136903493</v>
      </c>
      <c r="Z12">
        <v>43909.870427147303</v>
      </c>
      <c r="AA12">
        <v>-277.42619659853398</v>
      </c>
      <c r="AB12">
        <v>13.2124012198685</v>
      </c>
      <c r="AC12">
        <v>277.42619659853398</v>
      </c>
      <c r="AD12">
        <v>13.2124012198685</v>
      </c>
      <c r="AE12">
        <v>5</v>
      </c>
      <c r="AF12">
        <v>2</v>
      </c>
      <c r="AG12" t="s">
        <v>394</v>
      </c>
      <c r="AH12">
        <v>48.9901013587208</v>
      </c>
      <c r="AI12">
        <v>-277.42619659853398</v>
      </c>
      <c r="AJ12" t="s">
        <v>339</v>
      </c>
    </row>
    <row r="13" spans="1:36" x14ac:dyDescent="0.25">
      <c r="A13" t="s">
        <v>264</v>
      </c>
      <c r="B13" t="s">
        <v>230</v>
      </c>
      <c r="C13" t="s">
        <v>258</v>
      </c>
      <c r="D13" t="s">
        <v>257</v>
      </c>
      <c r="E13" t="s">
        <v>288</v>
      </c>
      <c r="F13">
        <v>100</v>
      </c>
      <c r="G13">
        <v>52.5</v>
      </c>
      <c r="H13">
        <v>4191</v>
      </c>
      <c r="I13">
        <v>4092</v>
      </c>
      <c r="J13">
        <v>397</v>
      </c>
      <c r="K13">
        <v>256.5</v>
      </c>
      <c r="L13">
        <v>9635</v>
      </c>
      <c r="M13">
        <v>8491</v>
      </c>
      <c r="N13">
        <v>0.43497664763881699</v>
      </c>
      <c r="O13">
        <v>0.48192203509598402</v>
      </c>
      <c r="P13">
        <v>2.3860653781913599E-2</v>
      </c>
      <c r="Q13">
        <v>1.2829912023460399E-2</v>
      </c>
      <c r="R13">
        <v>4.6945387457167101E-2</v>
      </c>
      <c r="S13">
        <v>-0.46229838709677401</v>
      </c>
      <c r="T13">
        <v>-4.7981150710614904E-3</v>
      </c>
      <c r="U13">
        <v>-2.98000035204529E-4</v>
      </c>
      <c r="V13">
        <v>-5.1784244579053905E-4</v>
      </c>
      <c r="W13">
        <v>-5.6139575520565499E-3</v>
      </c>
      <c r="X13">
        <v>-7.8517061691143995E-3</v>
      </c>
      <c r="Y13">
        <v>-12298.3518033788</v>
      </c>
      <c r="Z13">
        <v>1118490.7725929299</v>
      </c>
      <c r="AA13">
        <v>-5366.6474328213299</v>
      </c>
      <c r="AB13">
        <v>-333.31028960863398</v>
      </c>
      <c r="AC13">
        <v>-579.20199727367105</v>
      </c>
      <c r="AD13">
        <v>-6279.1597197036299</v>
      </c>
      <c r="AE13">
        <v>1</v>
      </c>
      <c r="AF13">
        <v>3</v>
      </c>
      <c r="AG13" t="s">
        <v>265</v>
      </c>
      <c r="AH13">
        <v>60.723943402812303</v>
      </c>
      <c r="AI13">
        <v>-5366.6474328213299</v>
      </c>
      <c r="AJ13" t="s">
        <v>341</v>
      </c>
    </row>
    <row r="14" spans="1:36" x14ac:dyDescent="0.25">
      <c r="A14" t="s">
        <v>264</v>
      </c>
      <c r="B14" t="s">
        <v>230</v>
      </c>
      <c r="C14" t="s">
        <v>314</v>
      </c>
      <c r="D14" t="s">
        <v>315</v>
      </c>
      <c r="E14" t="s">
        <v>353</v>
      </c>
      <c r="F14">
        <v>373</v>
      </c>
      <c r="G14">
        <v>243.75</v>
      </c>
      <c r="H14">
        <v>7106</v>
      </c>
      <c r="I14">
        <v>5995</v>
      </c>
      <c r="J14">
        <v>397</v>
      </c>
      <c r="K14">
        <v>256.5</v>
      </c>
      <c r="L14">
        <v>9635</v>
      </c>
      <c r="M14">
        <v>8491</v>
      </c>
      <c r="N14">
        <v>0.73751946030098603</v>
      </c>
      <c r="O14">
        <v>0.70604169120244997</v>
      </c>
      <c r="P14">
        <v>5.2490852800450301E-2</v>
      </c>
      <c r="Q14">
        <v>4.0658882402001703E-2</v>
      </c>
      <c r="R14">
        <v>-3.1477769098536397E-2</v>
      </c>
      <c r="S14">
        <v>-0.22541013847553901</v>
      </c>
      <c r="T14">
        <v>-8.7263084225610906E-3</v>
      </c>
      <c r="U14">
        <v>-7.0140014106099299E-4</v>
      </c>
      <c r="V14">
        <v>3.7244403218308398E-4</v>
      </c>
      <c r="W14">
        <v>-9.0552645314390008E-3</v>
      </c>
      <c r="X14">
        <v>-9.8764309226608907E-3</v>
      </c>
      <c r="Y14">
        <v>-12298.3518033788</v>
      </c>
      <c r="Z14">
        <v>1118490.7725929299</v>
      </c>
      <c r="AA14">
        <v>-9760.2954494345304</v>
      </c>
      <c r="AB14">
        <v>-784.50958567209898</v>
      </c>
      <c r="AC14">
        <v>416.57521330408298</v>
      </c>
      <c r="AD14">
        <v>-10128.229821802501</v>
      </c>
      <c r="AE14">
        <v>2</v>
      </c>
      <c r="AF14">
        <v>3</v>
      </c>
      <c r="AG14" t="s">
        <v>395</v>
      </c>
      <c r="AH14">
        <v>-1286.4014037131301</v>
      </c>
      <c r="AI14">
        <v>-9760.2954494345304</v>
      </c>
      <c r="AJ14" t="s">
        <v>343</v>
      </c>
    </row>
    <row r="15" spans="1:36" x14ac:dyDescent="0.25">
      <c r="A15" t="s">
        <v>264</v>
      </c>
      <c r="B15" t="s">
        <v>230</v>
      </c>
      <c r="C15" t="s">
        <v>271</v>
      </c>
      <c r="D15" t="s">
        <v>270</v>
      </c>
      <c r="E15" t="s">
        <v>356</v>
      </c>
      <c r="F15">
        <v>296</v>
      </c>
      <c r="G15">
        <v>202.5</v>
      </c>
      <c r="H15">
        <v>5583</v>
      </c>
      <c r="I15">
        <v>5430</v>
      </c>
      <c r="J15">
        <v>397</v>
      </c>
      <c r="K15">
        <v>256.5</v>
      </c>
      <c r="L15">
        <v>9635</v>
      </c>
      <c r="M15">
        <v>8491</v>
      </c>
      <c r="N15">
        <v>0.57944992215879598</v>
      </c>
      <c r="O15">
        <v>0.63950064774467097</v>
      </c>
      <c r="P15">
        <v>5.3018090632276603E-2</v>
      </c>
      <c r="Q15">
        <v>3.7292817679557999E-2</v>
      </c>
      <c r="R15">
        <v>6.0050725585874799E-2</v>
      </c>
      <c r="S15">
        <v>-0.29660202329401197</v>
      </c>
      <c r="T15">
        <v>-9.1120081883785797E-3</v>
      </c>
      <c r="U15">
        <v>1.3697351092813901E-3</v>
      </c>
      <c r="V15">
        <v>-9.4431405084667997E-4</v>
      </c>
      <c r="W15">
        <v>-8.6865871299438707E-3</v>
      </c>
      <c r="X15">
        <v>-1.06982478726254E-2</v>
      </c>
      <c r="Y15">
        <v>-12298.3518033788</v>
      </c>
      <c r="Z15">
        <v>1118490.7725929299</v>
      </c>
      <c r="AA15">
        <v>-10191.6970784926</v>
      </c>
      <c r="AB15">
        <v>1532.0360806277999</v>
      </c>
      <c r="AC15">
        <v>-1056.20655230186</v>
      </c>
      <c r="AD15">
        <v>-9715.8675501667003</v>
      </c>
      <c r="AE15">
        <v>3</v>
      </c>
      <c r="AF15">
        <v>3</v>
      </c>
      <c r="AG15" t="s">
        <v>396</v>
      </c>
      <c r="AH15">
        <v>-721.75348246108501</v>
      </c>
      <c r="AI15">
        <v>-10191.6970784926</v>
      </c>
      <c r="AJ15" t="s">
        <v>345</v>
      </c>
    </row>
    <row r="16" spans="1:36" x14ac:dyDescent="0.25">
      <c r="A16" t="s">
        <v>264</v>
      </c>
      <c r="B16" t="s">
        <v>230</v>
      </c>
      <c r="C16" t="s">
        <v>262</v>
      </c>
      <c r="D16" t="s">
        <v>261</v>
      </c>
      <c r="E16" t="s">
        <v>334</v>
      </c>
      <c r="F16">
        <v>296</v>
      </c>
      <c r="G16">
        <v>194.25</v>
      </c>
      <c r="H16">
        <v>7023</v>
      </c>
      <c r="I16">
        <v>5988</v>
      </c>
      <c r="J16">
        <v>397</v>
      </c>
      <c r="K16">
        <v>256.5</v>
      </c>
      <c r="L16">
        <v>9635</v>
      </c>
      <c r="M16">
        <v>8491</v>
      </c>
      <c r="N16">
        <v>0.72890503373118798</v>
      </c>
      <c r="O16">
        <v>0.70521728889412305</v>
      </c>
      <c r="P16">
        <v>4.2147230528264301E-2</v>
      </c>
      <c r="Q16">
        <v>3.2439879759519001E-2</v>
      </c>
      <c r="R16">
        <v>-2.3687744837065299E-2</v>
      </c>
      <c r="S16">
        <v>-0.23032001503006</v>
      </c>
      <c r="T16">
        <v>-7.0757368395327298E-3</v>
      </c>
      <c r="U16">
        <v>-2.8280264440264498E-4</v>
      </c>
      <c r="V16">
        <v>2.2994524805392699E-4</v>
      </c>
      <c r="W16">
        <v>-7.1285942358814396E-3</v>
      </c>
      <c r="X16">
        <v>-1.08161782527533E-2</v>
      </c>
      <c r="Y16">
        <v>-12298.3518033788</v>
      </c>
      <c r="Z16">
        <v>1118490.7725929299</v>
      </c>
      <c r="AA16">
        <v>-7914.1463643132001</v>
      </c>
      <c r="AB16">
        <v>-316.31214822923698</v>
      </c>
      <c r="AC16">
        <v>257.19163814990901</v>
      </c>
      <c r="AD16">
        <v>-7973.2668743925196</v>
      </c>
      <c r="AE16">
        <v>4</v>
      </c>
      <c r="AF16">
        <v>3</v>
      </c>
      <c r="AG16" t="s">
        <v>397</v>
      </c>
      <c r="AH16">
        <v>-4183.6492061116696</v>
      </c>
      <c r="AI16">
        <v>-7914.1463643132001</v>
      </c>
      <c r="AJ16" t="s">
        <v>347</v>
      </c>
    </row>
    <row r="17" spans="1:36" x14ac:dyDescent="0.25">
      <c r="A17" t="s">
        <v>264</v>
      </c>
      <c r="B17" t="s">
        <v>230</v>
      </c>
      <c r="C17" t="s">
        <v>311</v>
      </c>
      <c r="D17" t="s">
        <v>324</v>
      </c>
      <c r="E17" t="s">
        <v>360</v>
      </c>
      <c r="F17">
        <v>149</v>
      </c>
      <c r="G17">
        <v>106.5</v>
      </c>
      <c r="H17">
        <v>1104</v>
      </c>
      <c r="I17">
        <v>915</v>
      </c>
      <c r="J17">
        <v>397</v>
      </c>
      <c r="K17">
        <v>256.5</v>
      </c>
      <c r="L17">
        <v>9635</v>
      </c>
      <c r="M17">
        <v>8491</v>
      </c>
      <c r="N17">
        <v>0.114582252205501</v>
      </c>
      <c r="O17">
        <v>0.10776115887410199</v>
      </c>
      <c r="P17">
        <v>0.13496376811594199</v>
      </c>
      <c r="Q17">
        <v>0.116393442622951</v>
      </c>
      <c r="R17">
        <v>-6.8210933313987802E-3</v>
      </c>
      <c r="S17">
        <v>-0.137594894927935</v>
      </c>
      <c r="T17">
        <v>-2.1278297191761599E-3</v>
      </c>
      <c r="U17">
        <v>-7.1454576081910403E-4</v>
      </c>
      <c r="V17">
        <v>1.2666992338214699E-4</v>
      </c>
      <c r="W17">
        <v>-2.7157055566131199E-3</v>
      </c>
      <c r="X17">
        <v>-9.4936791673337993E-3</v>
      </c>
      <c r="Y17">
        <v>-12298.3518033788</v>
      </c>
      <c r="Z17">
        <v>1118490.7725929299</v>
      </c>
      <c r="AA17">
        <v>-2379.95790654753</v>
      </c>
      <c r="AB17">
        <v>-799.21284007155998</v>
      </c>
      <c r="AC17">
        <v>141.67914046798501</v>
      </c>
      <c r="AD17">
        <v>-3037.4916061511099</v>
      </c>
      <c r="AE17">
        <v>5</v>
      </c>
      <c r="AF17">
        <v>3</v>
      </c>
      <c r="AG17" t="s">
        <v>398</v>
      </c>
      <c r="AH17">
        <v>697.14654033916202</v>
      </c>
      <c r="AI17">
        <v>-2379.95790654753</v>
      </c>
      <c r="AJ17" t="s">
        <v>350</v>
      </c>
    </row>
    <row r="18" spans="1:36" x14ac:dyDescent="0.25">
      <c r="A18" t="s">
        <v>267</v>
      </c>
      <c r="B18" t="s">
        <v>232</v>
      </c>
      <c r="C18" t="s">
        <v>258</v>
      </c>
      <c r="D18" t="s">
        <v>257</v>
      </c>
      <c r="E18" t="s">
        <v>288</v>
      </c>
      <c r="F18">
        <v>38</v>
      </c>
      <c r="G18">
        <v>18</v>
      </c>
      <c r="H18">
        <v>100</v>
      </c>
      <c r="I18">
        <v>52.5</v>
      </c>
      <c r="J18">
        <v>248</v>
      </c>
      <c r="K18">
        <v>164.25</v>
      </c>
      <c r="L18">
        <v>397</v>
      </c>
      <c r="M18">
        <v>256.5</v>
      </c>
      <c r="N18">
        <v>0.25188916876574302</v>
      </c>
      <c r="O18">
        <v>0.20467836257309899</v>
      </c>
      <c r="P18">
        <v>0.38</v>
      </c>
      <c r="Q18">
        <v>0.34285714285714303</v>
      </c>
      <c r="R18">
        <v>-4.7210806192643701E-2</v>
      </c>
      <c r="S18">
        <v>-9.7744360902255703E-2</v>
      </c>
      <c r="T18">
        <v>-9.3558834112990302E-3</v>
      </c>
      <c r="U18">
        <v>1.22913748052427E-2</v>
      </c>
      <c r="V18">
        <v>1.7535442300124801E-3</v>
      </c>
      <c r="W18">
        <v>4.6890356239561197E-3</v>
      </c>
      <c r="X18">
        <v>-5.3164412536533404E-3</v>
      </c>
      <c r="Y18">
        <v>1128.78981412292</v>
      </c>
      <c r="Z18">
        <v>72054.681816044307</v>
      </c>
      <c r="AA18">
        <v>-674.13520230915799</v>
      </c>
      <c r="AB18">
        <v>885.65110067350395</v>
      </c>
      <c r="AC18">
        <v>126.35107154391</v>
      </c>
      <c r="AD18">
        <v>337.86696990825499</v>
      </c>
      <c r="AE18">
        <v>1</v>
      </c>
      <c r="AF18">
        <v>4</v>
      </c>
      <c r="AG18" t="s">
        <v>399</v>
      </c>
      <c r="AH18">
        <v>396.93451718202903</v>
      </c>
      <c r="AI18">
        <v>-674.13520230915799</v>
      </c>
      <c r="AJ18" t="s">
        <v>352</v>
      </c>
    </row>
    <row r="19" spans="1:36" x14ac:dyDescent="0.25">
      <c r="A19" t="s">
        <v>267</v>
      </c>
      <c r="B19" t="s">
        <v>232</v>
      </c>
      <c r="C19" t="s">
        <v>314</v>
      </c>
      <c r="D19" t="s">
        <v>315</v>
      </c>
      <c r="E19" t="s">
        <v>291</v>
      </c>
      <c r="F19">
        <v>6</v>
      </c>
      <c r="G19">
        <v>3</v>
      </c>
      <c r="H19">
        <v>24</v>
      </c>
      <c r="I19">
        <v>12.75</v>
      </c>
      <c r="J19">
        <v>248</v>
      </c>
      <c r="K19">
        <v>164.25</v>
      </c>
      <c r="L19">
        <v>397</v>
      </c>
      <c r="M19">
        <v>256.5</v>
      </c>
      <c r="N19">
        <v>6.0453400503778301E-2</v>
      </c>
      <c r="O19">
        <v>4.9707602339181298E-2</v>
      </c>
      <c r="P19">
        <v>0.25</v>
      </c>
      <c r="Q19">
        <v>0.23529411764705899</v>
      </c>
      <c r="R19">
        <v>-1.0745798164597101E-2</v>
      </c>
      <c r="S19">
        <v>-5.8823529411764698E-2</v>
      </c>
      <c r="T19">
        <v>-8.8902059564379896E-4</v>
      </c>
      <c r="U19">
        <v>4.1946317396892004E-3</v>
      </c>
      <c r="V19">
        <v>1.5802644359701599E-4</v>
      </c>
      <c r="W19">
        <v>3.4636375876424198E-3</v>
      </c>
      <c r="X19">
        <v>1.1085402965681499E-2</v>
      </c>
      <c r="Y19">
        <v>1128.78981412292</v>
      </c>
      <c r="Z19">
        <v>72054.681816044307</v>
      </c>
      <c r="AA19">
        <v>-64.058096147024102</v>
      </c>
      <c r="AB19">
        <v>302.242855338786</v>
      </c>
      <c r="AC19">
        <v>11.386545111904001</v>
      </c>
      <c r="AD19">
        <v>249.57130430366499</v>
      </c>
      <c r="AE19">
        <v>2</v>
      </c>
      <c r="AF19">
        <v>4</v>
      </c>
      <c r="AG19" t="s">
        <v>400</v>
      </c>
      <c r="AH19">
        <v>862.81327964183902</v>
      </c>
      <c r="AI19">
        <v>-64.058096147024102</v>
      </c>
      <c r="AJ19" t="s">
        <v>355</v>
      </c>
    </row>
    <row r="20" spans="1:36" x14ac:dyDescent="0.25">
      <c r="A20" t="s">
        <v>267</v>
      </c>
      <c r="B20" t="s">
        <v>232</v>
      </c>
      <c r="C20" t="s">
        <v>271</v>
      </c>
      <c r="D20" t="s">
        <v>270</v>
      </c>
      <c r="E20" t="s">
        <v>291</v>
      </c>
      <c r="F20">
        <v>10</v>
      </c>
      <c r="G20">
        <v>5.25</v>
      </c>
      <c r="H20">
        <v>46</v>
      </c>
      <c r="I20">
        <v>28.5</v>
      </c>
      <c r="J20">
        <v>248</v>
      </c>
      <c r="K20">
        <v>164.25</v>
      </c>
      <c r="L20">
        <v>397</v>
      </c>
      <c r="M20">
        <v>256.5</v>
      </c>
      <c r="N20">
        <v>0.115869017632242</v>
      </c>
      <c r="O20">
        <v>0.11111111111111099</v>
      </c>
      <c r="P20">
        <v>0.217391304347826</v>
      </c>
      <c r="Q20">
        <v>0.18421052631578899</v>
      </c>
      <c r="R20">
        <v>-4.7579065211307099E-3</v>
      </c>
      <c r="S20">
        <v>-0.15263157894736801</v>
      </c>
      <c r="T20">
        <v>-3.8446241548455501E-3</v>
      </c>
      <c r="U20">
        <v>2.01240210981463E-3</v>
      </c>
      <c r="V20">
        <v>1.57871040174818E-4</v>
      </c>
      <c r="W20">
        <v>-1.6743510048561E-3</v>
      </c>
      <c r="X20">
        <v>1.88572301665079E-2</v>
      </c>
      <c r="Y20">
        <v>1128.78981412292</v>
      </c>
      <c r="Z20">
        <v>72054.681816044307</v>
      </c>
      <c r="AA20">
        <v>-277.02317017967403</v>
      </c>
      <c r="AB20">
        <v>145.00299370862899</v>
      </c>
      <c r="AC20">
        <v>11.3753475677644</v>
      </c>
      <c r="AD20">
        <v>-120.644828903281</v>
      </c>
      <c r="AE20">
        <v>3</v>
      </c>
      <c r="AF20">
        <v>4</v>
      </c>
      <c r="AG20" t="s">
        <v>401</v>
      </c>
      <c r="AH20">
        <v>856.40138663718801</v>
      </c>
      <c r="AI20">
        <v>-277.02317017967403</v>
      </c>
      <c r="AJ20" t="s">
        <v>358</v>
      </c>
    </row>
    <row r="21" spans="1:36" x14ac:dyDescent="0.25">
      <c r="A21" t="s">
        <v>267</v>
      </c>
      <c r="B21" t="s">
        <v>232</v>
      </c>
      <c r="C21" t="s">
        <v>262</v>
      </c>
      <c r="D21" t="s">
        <v>261</v>
      </c>
      <c r="E21" t="s">
        <v>321</v>
      </c>
      <c r="F21">
        <v>65</v>
      </c>
      <c r="G21">
        <v>37.5</v>
      </c>
      <c r="H21">
        <v>101</v>
      </c>
      <c r="I21">
        <v>62.25</v>
      </c>
      <c r="J21">
        <v>248</v>
      </c>
      <c r="K21">
        <v>164.25</v>
      </c>
      <c r="L21">
        <v>397</v>
      </c>
      <c r="M21">
        <v>256.5</v>
      </c>
      <c r="N21">
        <v>0.25440806045340097</v>
      </c>
      <c r="O21">
        <v>0.24269005847953201</v>
      </c>
      <c r="P21">
        <v>0.64356435643564402</v>
      </c>
      <c r="Q21">
        <v>0.60240963855421703</v>
      </c>
      <c r="R21">
        <v>-1.17180019738684E-2</v>
      </c>
      <c r="S21">
        <v>-6.39481000926784E-2</v>
      </c>
      <c r="T21">
        <v>-1.04700919547206E-2</v>
      </c>
      <c r="U21">
        <v>-3.7655556108488202E-5</v>
      </c>
      <c r="V21">
        <v>4.82251065368554E-4</v>
      </c>
      <c r="W21">
        <v>-1.0025496445460601E-2</v>
      </c>
      <c r="X21">
        <v>1.50786665915191E-2</v>
      </c>
      <c r="Y21">
        <v>1128.78981412292</v>
      </c>
      <c r="Z21">
        <v>72054.681816044307</v>
      </c>
      <c r="AA21">
        <v>-754.41914438212098</v>
      </c>
      <c r="AB21">
        <v>-2.71325911400332</v>
      </c>
      <c r="AC21">
        <v>34.748447070579502</v>
      </c>
      <c r="AD21">
        <v>-722.38395642554497</v>
      </c>
      <c r="AE21">
        <v>4</v>
      </c>
      <c r="AF21">
        <v>4</v>
      </c>
      <c r="AG21" t="s">
        <v>402</v>
      </c>
      <c r="AH21">
        <v>1840.90766784424</v>
      </c>
      <c r="AI21">
        <v>-754.41914438212098</v>
      </c>
      <c r="AJ21" t="s">
        <v>359</v>
      </c>
    </row>
    <row r="22" spans="1:36" x14ac:dyDescent="0.25">
      <c r="A22" t="s">
        <v>267</v>
      </c>
      <c r="B22" t="s">
        <v>232</v>
      </c>
      <c r="C22" t="s">
        <v>311</v>
      </c>
      <c r="D22" t="s">
        <v>324</v>
      </c>
      <c r="E22" t="s">
        <v>403</v>
      </c>
      <c r="F22">
        <v>4</v>
      </c>
      <c r="G22">
        <v>0</v>
      </c>
      <c r="H22">
        <v>4</v>
      </c>
      <c r="I22">
        <v>0</v>
      </c>
      <c r="J22">
        <v>248</v>
      </c>
      <c r="K22">
        <v>164.25</v>
      </c>
      <c r="L22">
        <v>397</v>
      </c>
      <c r="M22">
        <v>256.5</v>
      </c>
      <c r="N22">
        <v>1.00755667506297E-2</v>
      </c>
      <c r="O22">
        <v>0</v>
      </c>
      <c r="P22">
        <v>1</v>
      </c>
      <c r="Q22">
        <v>0</v>
      </c>
      <c r="R22">
        <v>-1.00755667506297E-2</v>
      </c>
      <c r="S22">
        <v>-1</v>
      </c>
      <c r="T22">
        <v>-1.00755667506297E-2</v>
      </c>
      <c r="U22">
        <v>-3.6236687436475299E-3</v>
      </c>
      <c r="V22">
        <v>1.00755667506297E-2</v>
      </c>
      <c r="W22">
        <v>-3.6236687436475299E-3</v>
      </c>
      <c r="X22">
        <v>-1.5825097584203401E-2</v>
      </c>
      <c r="Y22">
        <v>1128.78981412292</v>
      </c>
      <c r="Z22">
        <v>72054.681816044307</v>
      </c>
      <c r="AA22">
        <v>-725.99175633293999</v>
      </c>
      <c r="AB22">
        <v>-261.10229833026801</v>
      </c>
      <c r="AC22">
        <v>725.99175633293999</v>
      </c>
      <c r="AD22">
        <v>-261.10229833026801</v>
      </c>
      <c r="AE22">
        <v>5</v>
      </c>
      <c r="AF22">
        <v>4</v>
      </c>
      <c r="AG22" t="s">
        <v>404</v>
      </c>
      <c r="AH22">
        <v>594.34184277256304</v>
      </c>
      <c r="AI22">
        <v>-725.99175633293999</v>
      </c>
      <c r="AJ22" t="s">
        <v>362</v>
      </c>
    </row>
    <row r="23" spans="1:36" x14ac:dyDescent="0.25">
      <c r="A23" t="s">
        <v>269</v>
      </c>
      <c r="B23" t="s">
        <v>234</v>
      </c>
      <c r="C23" t="s">
        <v>258</v>
      </c>
      <c r="D23" t="s">
        <v>257</v>
      </c>
      <c r="E23" t="s">
        <v>288</v>
      </c>
      <c r="F23">
        <v>4519.18</v>
      </c>
      <c r="G23">
        <v>1136.95</v>
      </c>
      <c r="H23">
        <v>38</v>
      </c>
      <c r="I23">
        <v>18</v>
      </c>
      <c r="J23">
        <v>45548.86</v>
      </c>
      <c r="K23">
        <v>32747.01</v>
      </c>
      <c r="L23">
        <v>248</v>
      </c>
      <c r="M23">
        <v>164.25</v>
      </c>
      <c r="N23">
        <v>0.15322580645161299</v>
      </c>
      <c r="O23">
        <v>0.10958904109589</v>
      </c>
      <c r="P23">
        <v>118.92578947368401</v>
      </c>
      <c r="Q23">
        <v>63.163888888888899</v>
      </c>
      <c r="R23">
        <v>-4.3636765355722501E-2</v>
      </c>
      <c r="S23">
        <v>-0.46887980169460403</v>
      </c>
      <c r="T23">
        <v>-8.5441621863799302</v>
      </c>
      <c r="U23">
        <v>3.5104546544768001</v>
      </c>
      <c r="V23">
        <v>2.4332689716078399</v>
      </c>
      <c r="W23">
        <v>-2.6004385602952902</v>
      </c>
      <c r="X23">
        <v>9.9947772480643096</v>
      </c>
      <c r="Y23">
        <v>3849.6765853698098</v>
      </c>
      <c r="Z23">
        <v>245.07417409294601</v>
      </c>
      <c r="AA23">
        <v>-2093.9534911432502</v>
      </c>
      <c r="AB23">
        <v>860.32177513664101</v>
      </c>
      <c r="AC23">
        <v>596.33138356278403</v>
      </c>
      <c r="AD23">
        <v>-637.30033244382003</v>
      </c>
      <c r="AE23">
        <v>1</v>
      </c>
      <c r="AF23">
        <v>5</v>
      </c>
      <c r="AG23" t="s">
        <v>405</v>
      </c>
      <c r="AH23">
        <v>5072.8117205812196</v>
      </c>
      <c r="AI23">
        <v>-2093.9534911432502</v>
      </c>
      <c r="AJ23" t="s">
        <v>364</v>
      </c>
    </row>
    <row r="24" spans="1:36" x14ac:dyDescent="0.25">
      <c r="A24" t="s">
        <v>269</v>
      </c>
      <c r="B24" t="s">
        <v>234</v>
      </c>
      <c r="C24" t="s">
        <v>314</v>
      </c>
      <c r="D24" t="s">
        <v>315</v>
      </c>
      <c r="E24" t="s">
        <v>291</v>
      </c>
      <c r="F24">
        <v>128.41999999999999</v>
      </c>
      <c r="G24">
        <v>115.47</v>
      </c>
      <c r="H24">
        <v>6</v>
      </c>
      <c r="I24">
        <v>3</v>
      </c>
      <c r="J24">
        <v>45548.86</v>
      </c>
      <c r="K24">
        <v>32747.01</v>
      </c>
      <c r="L24">
        <v>248</v>
      </c>
      <c r="M24">
        <v>164.25</v>
      </c>
      <c r="N24">
        <v>2.4193548387096801E-2</v>
      </c>
      <c r="O24">
        <v>1.8264840182648401E-2</v>
      </c>
      <c r="P24">
        <v>21.4033333333333</v>
      </c>
      <c r="Q24">
        <v>38.49</v>
      </c>
      <c r="R24">
        <v>-5.9287082044483701E-3</v>
      </c>
      <c r="S24">
        <v>0.79831801900015598</v>
      </c>
      <c r="T24">
        <v>0.413387096774194</v>
      </c>
      <c r="U24">
        <v>1.05513003340752</v>
      </c>
      <c r="V24">
        <v>-0.101301860853341</v>
      </c>
      <c r="W24">
        <v>1.3672152693283699</v>
      </c>
      <c r="X24">
        <v>14.736636159039801</v>
      </c>
      <c r="Y24">
        <v>3849.6765853698098</v>
      </c>
      <c r="Z24">
        <v>245.07417409294601</v>
      </c>
      <c r="AA24">
        <v>101.31050132261601</v>
      </c>
      <c r="AB24">
        <v>258.58512149801101</v>
      </c>
      <c r="AC24">
        <v>-24.826469882711201</v>
      </c>
      <c r="AD24">
        <v>335.06915293791599</v>
      </c>
      <c r="AE24">
        <v>2</v>
      </c>
      <c r="AF24">
        <v>5</v>
      </c>
      <c r="AG24" t="s">
        <v>406</v>
      </c>
      <c r="AH24">
        <v>3510.2584342623099</v>
      </c>
      <c r="AI24">
        <v>101.31050132261601</v>
      </c>
      <c r="AJ24" t="s">
        <v>366</v>
      </c>
    </row>
    <row r="25" spans="1:36" x14ac:dyDescent="0.25">
      <c r="A25" t="s">
        <v>269</v>
      </c>
      <c r="B25" t="s">
        <v>234</v>
      </c>
      <c r="C25" t="s">
        <v>271</v>
      </c>
      <c r="D25" t="s">
        <v>270</v>
      </c>
      <c r="E25" t="s">
        <v>291</v>
      </c>
      <c r="F25">
        <v>1446.09</v>
      </c>
      <c r="G25">
        <v>341.25</v>
      </c>
      <c r="H25">
        <v>10</v>
      </c>
      <c r="I25">
        <v>5.25</v>
      </c>
      <c r="J25">
        <v>45548.86</v>
      </c>
      <c r="K25">
        <v>32747.01</v>
      </c>
      <c r="L25">
        <v>248</v>
      </c>
      <c r="M25">
        <v>164.25</v>
      </c>
      <c r="N25">
        <v>4.0322580645161303E-2</v>
      </c>
      <c r="O25">
        <v>3.1963470319634701E-2</v>
      </c>
      <c r="P25">
        <v>144.60900000000001</v>
      </c>
      <c r="Q25">
        <v>65</v>
      </c>
      <c r="R25">
        <v>-8.3591103255265895E-3</v>
      </c>
      <c r="S25">
        <v>-0.55051207047970696</v>
      </c>
      <c r="T25">
        <v>-3.2100403225806402</v>
      </c>
      <c r="U25">
        <v>0.457778050680963</v>
      </c>
      <c r="V25">
        <v>0.665460413904846</v>
      </c>
      <c r="W25">
        <v>-2.08680185799484</v>
      </c>
      <c r="X25">
        <v>19.230840012021599</v>
      </c>
      <c r="Y25">
        <v>3849.6765853698098</v>
      </c>
      <c r="Z25">
        <v>245.074174092947</v>
      </c>
      <c r="AA25">
        <v>-786.69798086150797</v>
      </c>
      <c r="AB25">
        <v>112.189577688516</v>
      </c>
      <c r="AC25">
        <v>163.087161329281</v>
      </c>
      <c r="AD25">
        <v>-511.42124184371102</v>
      </c>
      <c r="AE25">
        <v>3</v>
      </c>
      <c r="AF25">
        <v>5</v>
      </c>
      <c r="AG25" t="s">
        <v>407</v>
      </c>
      <c r="AH25">
        <v>4326.1116248917897</v>
      </c>
      <c r="AI25">
        <v>-786.69798086150797</v>
      </c>
      <c r="AJ25" t="s">
        <v>367</v>
      </c>
    </row>
    <row r="26" spans="1:36" x14ac:dyDescent="0.25">
      <c r="A26" t="s">
        <v>269</v>
      </c>
      <c r="B26" t="s">
        <v>234</v>
      </c>
      <c r="C26" t="s">
        <v>262</v>
      </c>
      <c r="D26" t="s">
        <v>261</v>
      </c>
      <c r="E26" t="s">
        <v>321</v>
      </c>
      <c r="F26">
        <v>12452.38</v>
      </c>
      <c r="G26">
        <v>6463.48</v>
      </c>
      <c r="H26">
        <v>65</v>
      </c>
      <c r="I26">
        <v>37.5</v>
      </c>
      <c r="J26">
        <v>45548.86</v>
      </c>
      <c r="K26">
        <v>32747.01</v>
      </c>
      <c r="L26">
        <v>248</v>
      </c>
      <c r="M26">
        <v>164.25</v>
      </c>
      <c r="N26">
        <v>0.26209677419354799</v>
      </c>
      <c r="O26">
        <v>0.22831050228310501</v>
      </c>
      <c r="P26">
        <v>191.57507692307701</v>
      </c>
      <c r="Q26">
        <v>172.359466666667</v>
      </c>
      <c r="R26">
        <v>-3.3786271910443401E-2</v>
      </c>
      <c r="S26">
        <v>-0.100303288742125</v>
      </c>
      <c r="T26">
        <v>-5.0363494623656004</v>
      </c>
      <c r="U26">
        <v>0.263461669487144</v>
      </c>
      <c r="V26">
        <v>0.64922383304818199</v>
      </c>
      <c r="W26">
        <v>-4.12366395983027</v>
      </c>
      <c r="X26">
        <v>14.5254991728701</v>
      </c>
      <c r="Y26">
        <v>3849.6765853698098</v>
      </c>
      <c r="Z26">
        <v>245.074174092947</v>
      </c>
      <c r="AA26">
        <v>-1234.27918493271</v>
      </c>
      <c r="AB26">
        <v>64.567651054710694</v>
      </c>
      <c r="AC26">
        <v>159.10799468574101</v>
      </c>
      <c r="AD26">
        <v>-1010.60353919226</v>
      </c>
      <c r="AE26">
        <v>4</v>
      </c>
      <c r="AF26">
        <v>5</v>
      </c>
      <c r="AG26" t="s">
        <v>408</v>
      </c>
      <c r="AH26">
        <v>4794.10389801164</v>
      </c>
      <c r="AI26">
        <v>-1234.27918493271</v>
      </c>
      <c r="AJ26" t="s">
        <v>369</v>
      </c>
    </row>
    <row r="27" spans="1:36" x14ac:dyDescent="0.25">
      <c r="A27" t="s">
        <v>269</v>
      </c>
      <c r="B27" t="s">
        <v>234</v>
      </c>
      <c r="C27" t="s">
        <v>311</v>
      </c>
      <c r="D27" t="s">
        <v>324</v>
      </c>
      <c r="E27" t="s">
        <v>325</v>
      </c>
      <c r="F27">
        <v>2891.84</v>
      </c>
      <c r="G27">
        <v>114.65</v>
      </c>
      <c r="H27">
        <v>11</v>
      </c>
      <c r="I27">
        <v>3.75</v>
      </c>
      <c r="J27">
        <v>45548.86</v>
      </c>
      <c r="K27">
        <v>32747.01</v>
      </c>
      <c r="L27">
        <v>248</v>
      </c>
      <c r="M27">
        <v>164.25</v>
      </c>
      <c r="N27">
        <v>4.4354838709677401E-2</v>
      </c>
      <c r="O27">
        <v>2.2831050228310501E-2</v>
      </c>
      <c r="P27">
        <v>262.89454545454498</v>
      </c>
      <c r="Q27">
        <v>30.573333333333299</v>
      </c>
      <c r="R27">
        <v>-2.15237884813669E-2</v>
      </c>
      <c r="S27">
        <v>-0.88370495370882696</v>
      </c>
      <c r="T27">
        <v>-10.304569892473101</v>
      </c>
      <c r="U27">
        <v>-1.36722499634814</v>
      </c>
      <c r="V27">
        <v>5.0004326294317503</v>
      </c>
      <c r="W27">
        <v>-6.6713622593895199</v>
      </c>
      <c r="X27">
        <v>3.60294296816304</v>
      </c>
      <c r="Y27">
        <v>3849.6765853698098</v>
      </c>
      <c r="Z27">
        <v>245.07417409294601</v>
      </c>
      <c r="AA27">
        <v>-2525.3839557808901</v>
      </c>
      <c r="AB27">
        <v>-335.07153677925299</v>
      </c>
      <c r="AC27">
        <v>1225.4768967654099</v>
      </c>
      <c r="AD27">
        <v>-1634.9785957947399</v>
      </c>
      <c r="AE27">
        <v>5</v>
      </c>
      <c r="AF27">
        <v>5</v>
      </c>
      <c r="AG27" t="s">
        <v>409</v>
      </c>
      <c r="AH27">
        <v>3691.7798532380002</v>
      </c>
      <c r="AI27">
        <v>-2525.3839557808901</v>
      </c>
      <c r="AJ27" t="s">
        <v>372</v>
      </c>
    </row>
    <row r="28" spans="1:36" x14ac:dyDescent="0.25">
      <c r="A28" t="s">
        <v>373</v>
      </c>
      <c r="B28" t="s">
        <v>374</v>
      </c>
      <c r="C28" t="s">
        <v>258</v>
      </c>
      <c r="D28" t="s">
        <v>257</v>
      </c>
      <c r="E28" t="s">
        <v>289</v>
      </c>
      <c r="F28">
        <v>38393.370000000003</v>
      </c>
      <c r="G28">
        <v>30301.31</v>
      </c>
      <c r="H28">
        <v>1</v>
      </c>
      <c r="I28">
        <v>1</v>
      </c>
      <c r="J28">
        <v>45548.86</v>
      </c>
      <c r="K28">
        <v>32747.01</v>
      </c>
      <c r="L28">
        <v>1</v>
      </c>
      <c r="M28">
        <v>1</v>
      </c>
      <c r="N28">
        <v>1</v>
      </c>
      <c r="O28">
        <v>1</v>
      </c>
      <c r="P28">
        <v>38393.370000000003</v>
      </c>
      <c r="Q28">
        <v>30301.31</v>
      </c>
      <c r="R28">
        <v>0</v>
      </c>
      <c r="S28">
        <v>-0.21076711942713</v>
      </c>
      <c r="T28">
        <v>-8092.06</v>
      </c>
      <c r="U28">
        <v>0</v>
      </c>
      <c r="V28">
        <v>0</v>
      </c>
      <c r="W28">
        <v>-8092.06</v>
      </c>
      <c r="X28">
        <v>-12801.85</v>
      </c>
      <c r="Y28">
        <v>-12952.8821951137</v>
      </c>
      <c r="Z28">
        <v>1.01179768510909</v>
      </c>
      <c r="AA28">
        <v>-8187.5275757638201</v>
      </c>
      <c r="AB28">
        <v>0</v>
      </c>
      <c r="AC28">
        <v>0</v>
      </c>
      <c r="AD28">
        <v>-8187.5275757638201</v>
      </c>
      <c r="AE28">
        <v>1</v>
      </c>
      <c r="AF28">
        <v>6</v>
      </c>
      <c r="AG28" t="s">
        <v>410</v>
      </c>
      <c r="AH28">
        <v>257.77569623524198</v>
      </c>
      <c r="AI28">
        <v>-8187.5275757638201</v>
      </c>
      <c r="AJ28" t="s">
        <v>376</v>
      </c>
    </row>
    <row r="29" spans="1:36" x14ac:dyDescent="0.25">
      <c r="A29" t="s">
        <v>373</v>
      </c>
      <c r="B29" t="s">
        <v>374</v>
      </c>
      <c r="C29" t="s">
        <v>314</v>
      </c>
      <c r="D29" t="s">
        <v>315</v>
      </c>
      <c r="E29" t="s">
        <v>353</v>
      </c>
      <c r="F29">
        <v>45420.44</v>
      </c>
      <c r="G29">
        <v>32631.54</v>
      </c>
      <c r="H29">
        <v>1</v>
      </c>
      <c r="I29">
        <v>1</v>
      </c>
      <c r="J29">
        <v>45548.86</v>
      </c>
      <c r="K29">
        <v>32747.01</v>
      </c>
      <c r="L29">
        <v>1</v>
      </c>
      <c r="M29">
        <v>1</v>
      </c>
      <c r="N29">
        <v>1</v>
      </c>
      <c r="O29">
        <v>1</v>
      </c>
      <c r="P29">
        <v>45420.44</v>
      </c>
      <c r="Q29">
        <v>32631.54</v>
      </c>
      <c r="R29">
        <v>0</v>
      </c>
      <c r="S29">
        <v>-0.28156706540051102</v>
      </c>
      <c r="T29">
        <v>-12788.9</v>
      </c>
      <c r="U29">
        <v>0</v>
      </c>
      <c r="V29">
        <v>0</v>
      </c>
      <c r="W29">
        <v>-12788.9</v>
      </c>
      <c r="X29">
        <v>-12801.85</v>
      </c>
      <c r="Y29">
        <v>-12952.8821951137</v>
      </c>
      <c r="Z29">
        <v>1.01179768510909</v>
      </c>
      <c r="AA29">
        <v>-12939.7794150916</v>
      </c>
      <c r="AB29">
        <v>0</v>
      </c>
      <c r="AC29">
        <v>0</v>
      </c>
      <c r="AD29">
        <v>-12939.7794150916</v>
      </c>
      <c r="AE29">
        <v>2</v>
      </c>
      <c r="AF29">
        <v>6</v>
      </c>
      <c r="AG29" t="s">
        <v>411</v>
      </c>
      <c r="AH29">
        <v>-13.1027800221626</v>
      </c>
      <c r="AI29">
        <v>-12939.7794150916</v>
      </c>
      <c r="AJ29" t="s">
        <v>378</v>
      </c>
    </row>
    <row r="30" spans="1:36" x14ac:dyDescent="0.25">
      <c r="A30" t="s">
        <v>373</v>
      </c>
      <c r="B30" t="s">
        <v>374</v>
      </c>
      <c r="C30" t="s">
        <v>271</v>
      </c>
      <c r="D30" t="s">
        <v>270</v>
      </c>
      <c r="E30" t="s">
        <v>356</v>
      </c>
      <c r="F30">
        <v>35804.11</v>
      </c>
      <c r="G30">
        <v>25912.959999999999</v>
      </c>
      <c r="H30">
        <v>1</v>
      </c>
      <c r="I30">
        <v>1</v>
      </c>
      <c r="J30">
        <v>45548.86</v>
      </c>
      <c r="K30">
        <v>32747.01</v>
      </c>
      <c r="L30">
        <v>1</v>
      </c>
      <c r="M30">
        <v>1</v>
      </c>
      <c r="N30">
        <v>1</v>
      </c>
      <c r="O30">
        <v>1</v>
      </c>
      <c r="P30">
        <v>35804.11</v>
      </c>
      <c r="Q30">
        <v>25912.959999999999</v>
      </c>
      <c r="R30">
        <v>0</v>
      </c>
      <c r="S30">
        <v>-0.27625739056214499</v>
      </c>
      <c r="T30">
        <v>-9891.15</v>
      </c>
      <c r="U30">
        <v>0</v>
      </c>
      <c r="V30">
        <v>0</v>
      </c>
      <c r="W30">
        <v>-9891.15</v>
      </c>
      <c r="X30">
        <v>-12801.85</v>
      </c>
      <c r="Y30">
        <v>-12952.8821951137</v>
      </c>
      <c r="Z30">
        <v>1.01179768510908</v>
      </c>
      <c r="AA30">
        <v>-10007.8426730667</v>
      </c>
      <c r="AB30">
        <v>0</v>
      </c>
      <c r="AC30">
        <v>0</v>
      </c>
      <c r="AD30">
        <v>-10007.8426730667</v>
      </c>
      <c r="AE30">
        <v>3</v>
      </c>
      <c r="AF30">
        <v>6</v>
      </c>
      <c r="AG30" t="s">
        <v>412</v>
      </c>
      <c r="AH30">
        <v>-1117.8745544159201</v>
      </c>
      <c r="AI30">
        <v>-10007.8426730667</v>
      </c>
      <c r="AJ30" t="s">
        <v>380</v>
      </c>
    </row>
    <row r="31" spans="1:36" x14ac:dyDescent="0.25">
      <c r="A31" t="s">
        <v>373</v>
      </c>
      <c r="B31" t="s">
        <v>374</v>
      </c>
      <c r="C31" t="s">
        <v>262</v>
      </c>
      <c r="D31" t="s">
        <v>261</v>
      </c>
      <c r="E31" t="s">
        <v>334</v>
      </c>
      <c r="F31">
        <v>33096.480000000003</v>
      </c>
      <c r="G31">
        <v>26283.53</v>
      </c>
      <c r="H31">
        <v>1</v>
      </c>
      <c r="I31">
        <v>1</v>
      </c>
      <c r="J31">
        <v>45548.86</v>
      </c>
      <c r="K31">
        <v>32747.01</v>
      </c>
      <c r="L31">
        <v>1</v>
      </c>
      <c r="M31">
        <v>1</v>
      </c>
      <c r="N31">
        <v>1</v>
      </c>
      <c r="O31">
        <v>1</v>
      </c>
      <c r="P31">
        <v>33096.480000000003</v>
      </c>
      <c r="Q31">
        <v>26283.53</v>
      </c>
      <c r="R31">
        <v>0</v>
      </c>
      <c r="S31">
        <v>-0.205851196260146</v>
      </c>
      <c r="T31">
        <v>-6812.95</v>
      </c>
      <c r="U31">
        <v>0</v>
      </c>
      <c r="V31">
        <v>0</v>
      </c>
      <c r="W31">
        <v>-6812.95</v>
      </c>
      <c r="X31">
        <v>-12801.85</v>
      </c>
      <c r="Y31">
        <v>-12952.8821951137</v>
      </c>
      <c r="Z31">
        <v>1.01179768510908</v>
      </c>
      <c r="AA31">
        <v>-6893.3270387639404</v>
      </c>
      <c r="AB31">
        <v>0</v>
      </c>
      <c r="AC31">
        <v>0</v>
      </c>
      <c r="AD31">
        <v>-6893.3270387639404</v>
      </c>
      <c r="AE31">
        <v>4</v>
      </c>
      <c r="AF31">
        <v>6</v>
      </c>
      <c r="AG31" t="s">
        <v>413</v>
      </c>
      <c r="AH31">
        <v>-6059.5551563498002</v>
      </c>
      <c r="AI31">
        <v>-6893.3270387639404</v>
      </c>
      <c r="AJ31" t="s">
        <v>382</v>
      </c>
    </row>
    <row r="32" spans="1:36" x14ac:dyDescent="0.25">
      <c r="A32" t="s">
        <v>373</v>
      </c>
      <c r="B32" t="s">
        <v>374</v>
      </c>
      <c r="C32" t="s">
        <v>311</v>
      </c>
      <c r="D32" t="s">
        <v>324</v>
      </c>
      <c r="E32" t="s">
        <v>360</v>
      </c>
      <c r="F32">
        <v>21507.08</v>
      </c>
      <c r="G32">
        <v>17713.150000000001</v>
      </c>
      <c r="H32">
        <v>1</v>
      </c>
      <c r="I32">
        <v>1</v>
      </c>
      <c r="J32">
        <v>45548.86</v>
      </c>
      <c r="K32">
        <v>32747.01</v>
      </c>
      <c r="L32">
        <v>1</v>
      </c>
      <c r="M32">
        <v>1</v>
      </c>
      <c r="N32">
        <v>1</v>
      </c>
      <c r="O32">
        <v>1</v>
      </c>
      <c r="P32">
        <v>21507.08</v>
      </c>
      <c r="Q32">
        <v>17713.150000000001</v>
      </c>
      <c r="R32">
        <v>0</v>
      </c>
      <c r="S32">
        <v>-0.176403770293317</v>
      </c>
      <c r="T32">
        <v>-3793.93</v>
      </c>
      <c r="U32">
        <v>0</v>
      </c>
      <c r="V32">
        <v>0</v>
      </c>
      <c r="W32">
        <v>-3793.93</v>
      </c>
      <c r="X32">
        <v>-12801.85</v>
      </c>
      <c r="Y32">
        <v>-12952.8821951137</v>
      </c>
      <c r="Z32">
        <v>1.01179768510909</v>
      </c>
      <c r="AA32">
        <v>-3838.6895914659099</v>
      </c>
      <c r="AB32">
        <v>0</v>
      </c>
      <c r="AC32">
        <v>0</v>
      </c>
      <c r="AD32">
        <v>-3838.6895914659099</v>
      </c>
      <c r="AE32">
        <v>5</v>
      </c>
      <c r="AF32">
        <v>6</v>
      </c>
      <c r="AG32" t="s">
        <v>414</v>
      </c>
      <c r="AH32">
        <v>520.06401014607002</v>
      </c>
      <c r="AI32">
        <v>-3838.6895914659099</v>
      </c>
      <c r="AJ32" t="s">
        <v>385</v>
      </c>
    </row>
  </sheetData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Dashboard</vt:lpstr>
      <vt:lpstr>Waterfall - init</vt:lpstr>
      <vt:lpstr>Summary - init</vt:lpstr>
      <vt:lpstr>Detailed - init</vt:lpstr>
      <vt:lpstr>Mix - init</vt:lpstr>
      <vt:lpstr>Max - init</vt:lpstr>
      <vt:lpstr>Min - init</vt:lpstr>
      <vt:lpstr>Waterfall</vt:lpstr>
      <vt:lpstr>Summary</vt:lpstr>
      <vt:lpstr>Detailed</vt:lpstr>
      <vt:lpstr>Mix</vt:lpstr>
      <vt:lpstr>Max</vt:lpstr>
      <vt:lpstr>Min</vt:lpstr>
      <vt:lpstr>Dashboard!Print_Area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GDB</dc:creator>
  <cp:lastModifiedBy>GDB</cp:lastModifiedBy>
  <cp:lastPrinted>2018-11-28T20:00:27Z</cp:lastPrinted>
  <dcterms:created xsi:type="dcterms:W3CDTF">2018-11-06T19:58:09Z</dcterms:created>
  <dcterms:modified xsi:type="dcterms:W3CDTF">2018-11-28T20:51:48Z</dcterms:modified>
</cp:coreProperties>
</file>