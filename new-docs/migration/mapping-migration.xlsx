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Mapping des pages" sheetId="2" state="visible" r:id="rId4"/>
    <sheet name="Pages cibles" sheetId="3" state="visible" r:id="rId5"/>
    <sheet name="Tips of the week" sheetId="4" state="visible" r:id="rId6"/>
  </sheets>
  <definedNames>
    <definedName function="false" hidden="true" localSheetId="1" name="_xlnm._FilterDatabase" vbProcedure="false">'Mapping des pages'!$A$4:$P$218</definedName>
    <definedName function="false" hidden="true" localSheetId="2" name="_xlnm._FilterDatabase" vbProcedure="false">'Pages cibles'!$A$4:$J$75</definedName>
    <definedName function="false" hidden="true" localSheetId="3" name="_xlnm._FilterDatabase" vbProcedure="false">'Tips of the week'!$A$4:$I$119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<sst xmlns="http://schemas.openxmlformats.org/spreadsheetml/2006/main" count="3379" uniqueCount="1071">
  <si>
    <t xml:space="preserve">Migration vers la nouvelle documentation DataMa</t>
  </si>
  <si>
    <t xml:space="preserve">Toutes les valeurs ci-dessous sont des formules : elles se mettent à jour quand vous remplissez les autres onglets.</t>
  </si>
  <si>
    <t xml:space="preserve">Pages</t>
  </si>
  <si>
    <t xml:space="preserve">Pages actuelles</t>
  </si>
  <si>
    <t xml:space="preserve">Pages non migrées</t>
  </si>
  <si>
    <t xml:space="preserve">Pages de la nouvelle doc</t>
  </si>
  <si>
    <t xml:space="preserve">dont nouvelles pages à écrire</t>
  </si>
  <si>
    <t xml:space="preserve">Validation du mapping</t>
  </si>
  <si>
    <t xml:space="preserve">À valider</t>
  </si>
  <si>
    <t xml:space="preserve">Validé</t>
  </si>
  <si>
    <t xml:space="preserve">Refusé</t>
  </si>
  <si>
    <t xml:space="preserve">À revoir</t>
  </si>
  <si>
    <t xml:space="preserve">Avancement (pages tranchées)</t>
  </si>
  <si>
    <t xml:space="preserve">Images</t>
  </si>
  <si>
    <t xml:space="preserve">Images actuelles</t>
  </si>
  <si>
    <t xml:space="preserve">dont GIF</t>
  </si>
  <si>
    <t xml:space="preserve">Images cibles (proposé)</t>
  </si>
  <si>
    <t xml:space="preserve">Réduction</t>
  </si>
  <si>
    <t xml:space="preserve">Tips of the week</t>
  </si>
  <si>
    <t xml:space="preserve">Tips actuels (EN)</t>
  </si>
  <si>
    <t xml:space="preserve">Proposition : Garder</t>
  </si>
  <si>
    <t xml:space="preserve">Proposition : Archiver</t>
  </si>
  <si>
    <t xml:space="preserve">Proposition : À vérifier</t>
  </si>
  <si>
    <t xml:space="preserve">Décision : Garder</t>
  </si>
  <si>
    <t xml:space="preserve">Décision : Archiver</t>
  </si>
  <si>
    <t xml:space="preserve">Décision : À décider</t>
  </si>
  <si>
    <t xml:space="preserve">Mode d’emploi</t>
  </si>
  <si>
    <t xml:space="preserve">1. Onglet « Mapping des pages » : une ligne par page actuelle. Validez la nouvelle page proposée (colonne Décision).</t>
  </si>
  <si>
    <t xml:space="preserve">2. Si la page cible ne convient pas : Refusé ou À revoir, et la bonne page cible dans la colonne Commentaire.</t>
  </si>
  <si>
    <t xml:space="preserve">3. Ajustez si besoin le nombre d’images à garder (colonne Images cibles, en bleu) : la synthèse se recalcule.</t>
  </si>
  <si>
    <t xml:space="preserve">4. Onglet « Pages cibles » : la liste des pages de la nouvelle doc, avec leurs sources ; validez la structure.</t>
  </si>
  <si>
    <t xml:space="preserve">5. Onglet « Tips of the week » : Garder ou Archiver chaque tip ; « À décider » pour ceux qui demandent une vérification produit.</t>
  </si>
  <si>
    <t xml:space="preserve">Cellules jaunes = à remplir. Le reste est calculé ou issu de l’inventaire de la doc actuelle (repo docs, branche master).</t>
  </si>
  <si>
    <t xml:space="preserve">Hypothèses : les environnements de chaque type de slide (Pivot, Journey = web app ; Spreadsheet = BI) et la répartition des réglages story / visuel sont provisoires.</t>
  </si>
  <si>
    <t xml:space="preserve">Mapping des pages : ancienne doc → nouvelle doc</t>
  </si>
  <si>
    <t xml:space="preserve">Une ligne par page actuelle. À remplir : colonnes jaunes (Images cibles, Décision, Commentaire). Décision : Validé / Refusé / À revoir. Si refusé, indiquez la bonne page cible en commentaire.</t>
  </si>
  <si>
    <t xml:space="preserve">#</t>
  </si>
  <si>
    <t xml:space="preserve">Ancien chemin</t>
  </si>
  <si>
    <t xml:space="preserve">Titre actuel</t>
  </si>
  <si>
    <t xml:space="preserve">Dans le menu actuel</t>
  </si>
  <si>
    <t xml:space="preserve">Mots</t>
  </si>
  <si>
    <t xml:space="preserve">Rubrique cible</t>
  </si>
  <si>
    <t xml:space="preserve">Nouvelle page</t>
  </si>
  <si>
    <t xml:space="preserve">Titre cible</t>
  </si>
  <si>
    <t xml:space="preserve">Environnements</t>
  </si>
  <si>
    <t xml:space="preserve">Traitement proposé</t>
  </si>
  <si>
    <t xml:space="preserve">Proposition images</t>
  </si>
  <si>
    <t xml:space="preserve">Décision</t>
  </si>
  <si>
    <t xml:space="preserve">Commentaire / autre page cible</t>
  </si>
  <si>
    <t xml:space="preserve">Privacy_Policy.md</t>
  </si>
  <si>
    <t xml:space="preserve">PRIVACY POLICY</t>
  </si>
  <si>
    <t xml:space="preserve">Non</t>
  </si>
  <si>
    <t xml:space="preserve">Legal (footer)</t>
  </si>
  <si>
    <t xml:space="preserve">/legal/privacy-policy/</t>
  </si>
  <si>
    <t xml:space="preserve">Privacy policy</t>
  </si>
  <si>
    <t xml:space="preserve">Tous</t>
  </si>
  <si>
    <t xml:space="preserve">Fusionner les doublons ; garder les anciennes URL (fiches marketplace)</t>
  </si>
  <si>
    <t xml:space="preserve">—</t>
  </si>
  <si>
    <t xml:space="preserve">core_app.md</t>
  </si>
  <si>
    <t xml:space="preserve">Core app</t>
  </si>
  <si>
    <t xml:space="preserve">— (non migrée)</t>
  </si>
  <si>
    <t xml:space="preserve">Ne pas migrer : page vide</t>
  </si>
  <si>
    <t xml:space="preserve">Aucune (page non migrée)</t>
  </si>
  <si>
    <t xml:space="preserve">core_app/licence_terms.md</t>
  </si>
  <si>
    <t xml:space="preserve">TERMS OF SERVICE</t>
  </si>
  <si>
    <t xml:space="preserve">/legal/terms-of-service/</t>
  </si>
  <si>
    <t xml:space="preserve">Terms of Service</t>
  </si>
  <si>
    <t xml:space="preserve">core_app/licence_terms/privacy_policy.md</t>
  </si>
  <si>
    <t xml:space="preserve">core_app/licence_terms/terms_of_service.md</t>
  </si>
  <si>
    <t xml:space="preserve">core_app/new/Datama_on_premise.md</t>
  </si>
  <si>
    <t xml:space="preserve">Datama on Premise</t>
  </si>
  <si>
    <t xml:space="preserve">Oui</t>
  </si>
  <si>
    <t xml:space="preserve">Ne pas migrer : On-premise retiré de la doc</t>
  </si>
  <si>
    <t xml:space="preserve">core_app/new/admin/Power_BI_privacy_policy.md</t>
  </si>
  <si>
    <t xml:space="preserve">Datama Power BI Extension Privacy Policy</t>
  </si>
  <si>
    <t xml:space="preserve">/legal/privacy/power-bi/</t>
  </si>
  <si>
    <t xml:space="preserve">Privacy policy › Power BI</t>
  </si>
  <si>
    <t xml:space="preserve">Power BI</t>
  </si>
  <si>
    <t xml:space="preserve">Migrer tel quel ; garder l’ancienne URL (AppSource)</t>
  </si>
  <si>
    <t xml:space="preserve">core_app/new/admin/licence_terms.md</t>
  </si>
  <si>
    <t xml:space="preserve">core_app/new/admin/privacy_policy.md</t>
  </si>
  <si>
    <t xml:space="preserve">core_app/new/admin/terms_of_service.md</t>
  </si>
  <si>
    <t xml:space="preserve">core_app/new/assess/assess.md</t>
  </si>
  <si>
    <t xml:space="preserve">Datama Assess</t>
  </si>
  <si>
    <t xml:space="preserve">Slide types</t>
  </si>
  <si>
    <t xml:space="preserve">/slide-types/assess/</t>
  </si>
  <si>
    <t xml:space="preserve">Assess</t>
  </si>
  <si>
    <t xml:space="preserve">Fusionner</t>
  </si>
  <si>
    <t xml:space="preserve">Supprimer les captures d’interface ; 1 visuel d’ensemble si indispensable</t>
  </si>
  <si>
    <t xml:space="preserve">core_app/new/assess/assess_header.md</t>
  </si>
  <si>
    <t xml:space="preserve">Assess (Sub)Header</t>
  </si>
  <si>
    <t xml:space="preserve">/slide-types/assess/visual-settings/</t>
  </si>
  <si>
    <t xml:space="preserve">Assess › Visual settings</t>
  </si>
  <si>
    <t xml:space="preserve">core_app/new/assess/assess_interface.md</t>
  </si>
  <si>
    <t xml:space="preserve">Assess - General Interface</t>
  </si>
  <si>
    <t xml:space="preserve">core_app/new/assess/assess_introduction.md</t>
  </si>
  <si>
    <t xml:space="preserve">Assess - General Introduction</t>
  </si>
  <si>
    <t xml:space="preserve">core_app/new/assess/model.md</t>
  </si>
  <si>
    <t xml:space="preserve">Datama Assess - Our Models</t>
  </si>
  <si>
    <t xml:space="preserve">/slide-types/assess/methods/</t>
  </si>
  <si>
    <t xml:space="preserve">Assess › Methods</t>
  </si>
  <si>
    <t xml:space="preserve">Fusionner ; une section par méthode</t>
  </si>
  <si>
    <t xml:space="preserve">core_app/new/assess/model/bayesian.md</t>
  </si>
  <si>
    <t xml:space="preserve">Model - Bayesian model</t>
  </si>
  <si>
    <t xml:space="preserve">Garder seulement les schémas explicatifs</t>
  </si>
  <si>
    <t xml:space="preserve">core_app/new/assess/model/bootstrap.md</t>
  </si>
  <si>
    <t xml:space="preserve">Model - Bootstrap model</t>
  </si>
  <si>
    <t xml:space="preserve">core_app/new/assess/model/causal.md</t>
  </si>
  <si>
    <t xml:space="preserve">Model - Causal Impact</t>
  </si>
  <si>
    <t xml:space="preserve">core_app/new/assess/model/forecast.md</t>
  </si>
  <si>
    <t xml:space="preserve">Model - Forecast model</t>
  </si>
  <si>
    <t xml:space="preserve">core_app/new/assess/model/frequentist.md</t>
  </si>
  <si>
    <t xml:space="preserve">Assess - Frequentist model</t>
  </si>
  <si>
    <t xml:space="preserve">core_app/new/assess/model/volatility.md</t>
  </si>
  <si>
    <t xml:space="preserve">Assess - Volatility model</t>
  </si>
  <si>
    <t xml:space="preserve">core_app/new/assess/settings.md</t>
  </si>
  <si>
    <t xml:space="preserve">Assess - Settings</t>
  </si>
  <si>
    <t xml:space="preserve">Découper : réglages communs → Set up the analysis / Story settings ; réglages propres → Visual settings</t>
  </si>
  <si>
    <t xml:space="preserve">core_app/new/calendar/Calendar.md</t>
  </si>
  <si>
    <t xml:space="preserve">Calendar</t>
  </si>
  <si>
    <t xml:space="preserve">Prepare your data</t>
  </si>
  <si>
    <t xml:space="preserve">/data/calendars/</t>
  </si>
  <si>
    <t xml:space="preserve">Calendars</t>
  </si>
  <si>
    <t xml:space="preserve">Fusionner (6 pages → 1 ou 2)</t>
  </si>
  <si>
    <t xml:space="preserve">core_app/new/calendar/Calendar_interest.md</t>
  </si>
  <si>
    <t xml:space="preserve">Calendar interest</t>
  </si>
  <si>
    <t xml:space="preserve">core_app/new/calendar/calendar_compare.md</t>
  </si>
  <si>
    <t xml:space="preserve">Calendar in Compare</t>
  </si>
  <si>
    <t xml:space="preserve">core_app/new/calendar/calendar_creation.md</t>
  </si>
  <si>
    <t xml:space="preserve">Calendar creation</t>
  </si>
  <si>
    <t xml:space="preserve">core_app/new/calendar/calendar_detect.md</t>
  </si>
  <si>
    <t xml:space="preserve">Calendar in Detect</t>
  </si>
  <si>
    <t xml:space="preserve">core_app/new/calendar/calendar_explore.md</t>
  </si>
  <si>
    <t xml:space="preserve">Calendar in Explore</t>
  </si>
  <si>
    <t xml:space="preserve">core_app/new/compare/compare.md</t>
  </si>
  <si>
    <t xml:space="preserve">Datama Compare</t>
  </si>
  <si>
    <t xml:space="preserve">/slide-types/compare/</t>
  </si>
  <si>
    <t xml:space="preserve">Compare</t>
  </si>
  <si>
    <t xml:space="preserve">Fusionner intro web app + extension</t>
  </si>
  <si>
    <t xml:space="preserve">core_app/new/compare/compare_interface.md</t>
  </si>
  <si>
    <t xml:space="preserve">Compare Interface</t>
  </si>
  <si>
    <t xml:space="preserve">/slide-types/compare/charts/</t>
  </si>
  <si>
    <t xml:space="preserve">Compare › Charts</t>
  </si>
  <si>
    <t xml:space="preserve">core_app/new/compare/compare_introduction.md</t>
  </si>
  <si>
    <t xml:space="preserve">core_app/new/compare/interface/bridge.md</t>
  </si>
  <si>
    <t xml:space="preserve">Bridge</t>
  </si>
  <si>
    <t xml:space="preserve">Fusionner ; « view » renommé « chart »</t>
  </si>
  <si>
    <t xml:space="preserve">core_app/new/compare/interface/compare_header.md</t>
  </si>
  <si>
    <t xml:space="preserve">Compare (Sub)Header</t>
  </si>
  <si>
    <t xml:space="preserve">/slide-types/compare/visual-settings/</t>
  </si>
  <si>
    <t xml:space="preserve">Compare › Visual settings</t>
  </si>
  <si>
    <t xml:space="preserve">core_app/new/compare/interface/detailed_view.md</t>
  </si>
  <si>
    <t xml:space="preserve">Page "Detailed View" on Compare</t>
  </si>
  <si>
    <t xml:space="preserve">core_app/new/compare/interface/dimensions.md</t>
  </si>
  <si>
    <t xml:space="preserve">Dimensions (Mix &amp; Perf)</t>
  </si>
  <si>
    <t xml:space="preserve">core_app/new/compare/interface/moves.md</t>
  </si>
  <si>
    <t xml:space="preserve">Moves</t>
  </si>
  <si>
    <t xml:space="preserve">core_app/new/compare/interface/subheader/drill_down_hierarchy.md</t>
  </si>
  <si>
    <t xml:space="preserve">Drill down hierarchy</t>
  </si>
  <si>
    <t xml:space="preserve">Set up the analysis</t>
  </si>
  <si>
    <t xml:space="preserve">/analysis/grouping-and-simplification/</t>
  </si>
  <si>
    <t xml:space="preserve">Grouping and simplification</t>
  </si>
  <si>
    <t xml:space="preserve">Fusionner (page aujourd’hui hors menu)</t>
  </si>
  <si>
    <t xml:space="preserve">core_app/new/compare/interface/subheader/secondary_comparison.md</t>
  </si>
  <si>
    <t xml:space="preserve">Secondary Comparison</t>
  </si>
  <si>
    <t xml:space="preserve">/analysis/comparison/</t>
  </si>
  <si>
    <t xml:space="preserve">Comparison</t>
  </si>
  <si>
    <t xml:space="preserve">Fusionner (section Secondary comparison)</t>
  </si>
  <si>
    <t xml:space="preserve">core_app/new/compare/interface/subheader/settings.md</t>
  </si>
  <si>
    <t xml:space="preserve">Compare - Settings</t>
  </si>
  <si>
    <t xml:space="preserve">core_app/new/compare/interface/table.md</t>
  </si>
  <si>
    <t xml:space="preserve">Table</t>
  </si>
  <si>
    <t xml:space="preserve">core_app/new/compare/interface/waterfall.md</t>
  </si>
  <si>
    <t xml:space="preserve">Waterfall</t>
  </si>
  <si>
    <t xml:space="preserve">core_app/new/compare/model/covariance.md</t>
  </si>
  <si>
    <t xml:space="preserve">Covariance</t>
  </si>
  <si>
    <t xml:space="preserve">/slide-types/compare/how-it-works/</t>
  </si>
  <si>
    <t xml:space="preserve">Compare › How it works</t>
  </si>
  <si>
    <t xml:space="preserve">Fusionner ; ancres stables par effet</t>
  </si>
  <si>
    <t xml:space="preserve">core_app/new/compare/model/dimension_analysis_mix.md</t>
  </si>
  <si>
    <t xml:space="preserve">Mix Effect</t>
  </si>
  <si>
    <t xml:space="preserve">core_app/new/compare/model/dimension_analysis_performance.md</t>
  </si>
  <si>
    <t xml:space="preserve">Performance Effect</t>
  </si>
  <si>
    <t xml:space="preserve">core_app/new/compare/model/model.md</t>
  </si>
  <si>
    <t xml:space="preserve">Model</t>
  </si>
  <si>
    <t xml:space="preserve">core_app/new/compare/model/modeling_components.md</t>
  </si>
  <si>
    <t xml:space="preserve">Other important modeling components</t>
  </si>
  <si>
    <t xml:space="preserve">core_app/new/detect/detect.md</t>
  </si>
  <si>
    <t xml:space="preserve">Datama Detect</t>
  </si>
  <si>
    <t xml:space="preserve">/slide-types/detect/</t>
  </si>
  <si>
    <t xml:space="preserve">Detect</t>
  </si>
  <si>
    <t xml:space="preserve">core_app/new/detect/detect_header.md</t>
  </si>
  <si>
    <t xml:space="preserve">Detect Subheader</t>
  </si>
  <si>
    <t xml:space="preserve">/slide-types/detect/visual-settings/</t>
  </si>
  <si>
    <t xml:space="preserve">Detect › Visual settings</t>
  </si>
  <si>
    <t xml:space="preserve">core_app/new/detect/detect_interface.md</t>
  </si>
  <si>
    <t xml:space="preserve">Detect - interface</t>
  </si>
  <si>
    <t xml:space="preserve">core_app/new/detect/detect_introduction.md</t>
  </si>
  <si>
    <t xml:space="preserve">core_app/new/detect/detection_method.md</t>
  </si>
  <si>
    <t xml:space="preserve">Detection methods</t>
  </si>
  <si>
    <t xml:space="preserve">/slide-types/detect/detection-methods/</t>
  </si>
  <si>
    <t xml:space="preserve">Detect › Detection methods</t>
  </si>
  <si>
    <t xml:space="preserve">Migrer</t>
  </si>
  <si>
    <t xml:space="preserve">core_app/new/detect/settings.md</t>
  </si>
  <si>
    <t xml:space="preserve">Detect - Settings</t>
  </si>
  <si>
    <t xml:space="preserve">core_app/new/integration/AI/Introduction.md</t>
  </si>
  <si>
    <t xml:space="preserve">Artificial Intelligence</t>
  </si>
  <si>
    <t xml:space="preserve">Administration</t>
  </si>
  <si>
    <t xml:space="preserve">/admin/ai-providers/</t>
  </si>
  <si>
    <t xml:space="preserve">AI providers</t>
  </si>
  <si>
    <t xml:space="preserve">Web app</t>
  </si>
  <si>
    <t xml:space="preserve">core_app/new/integration/AI/OpenAi-connect.md</t>
  </si>
  <si>
    <t xml:space="preserve">Open Ai - How to connect</t>
  </si>
  <si>
    <t xml:space="preserve">core_app/new/integration/PowerBI.md</t>
  </si>
  <si>
    <t xml:space="preserve">Power BI extension connected to the WebApp</t>
  </si>
  <si>
    <t xml:space="preserve">Environments</t>
  </si>
  <si>
    <t xml:space="preserve">/environments/power-bi/</t>
  </si>
  <si>
    <t xml:space="preserve">Supprimer les captures et GIF ; 1 capture d’installation maximum</t>
  </si>
  <si>
    <t xml:space="preserve">core_app/new/integration/PowerBI_demo.md</t>
  </si>
  <si>
    <t xml:space="preserve">Power BI - marketplace extension</t>
  </si>
  <si>
    <t xml:space="preserve">core_app/new/integration/integrations.md</t>
  </si>
  <si>
    <t xml:space="preserve">Datama integrations</t>
  </si>
  <si>
    <t xml:space="preserve">/environments/</t>
  </si>
  <si>
    <t xml:space="preserve">Environments (index)</t>
  </si>
  <si>
    <t xml:space="preserve">Fusionner dans la page d’index de la rubrique</t>
  </si>
  <si>
    <t xml:space="preserve">core_app/new/integration/tableau.md</t>
  </si>
  <si>
    <t xml:space="preserve">Tableau extension</t>
  </si>
  <si>
    <t xml:space="preserve">/environments/tableau/</t>
  </si>
  <si>
    <t xml:space="preserve">Tableau</t>
  </si>
  <si>
    <t xml:space="preserve">core_app/new/integration/tableau_compare_demo.md</t>
  </si>
  <si>
    <t xml:space="preserve">core_app/new/interface/account.md</t>
  </si>
  <si>
    <t xml:space="preserve">Account</t>
  </si>
  <si>
    <t xml:space="preserve">/admin/plans-and-billing/</t>
  </si>
  <si>
    <t xml:space="preserve">Plans and billing</t>
  </si>
  <si>
    <t xml:space="preserve">core_app/new/interface/general.md</t>
  </si>
  <si>
    <t xml:space="preserve">General description</t>
  </si>
  <si>
    <t xml:space="preserve">Get started</t>
  </si>
  <si>
    <t xml:space="preserve">/start/what-is-datama/</t>
  </si>
  <si>
    <t xml:space="preserve">What is Datama</t>
  </si>
  <si>
    <t xml:space="preserve">Réécrire (Studio : stories et slides)</t>
  </si>
  <si>
    <t xml:space="preserve">core_app/new/interface/header/data.md</t>
  </si>
  <si>
    <t xml:space="preserve">Data Menu</t>
  </si>
  <si>
    <t xml:space="preserve">Build a story</t>
  </si>
  <si>
    <t xml:space="preserve">/story/story-settings/</t>
  </si>
  <si>
    <t xml:space="preserve">Story settings</t>
  </si>
  <si>
    <t xml:space="preserve">Réécrire</t>
  </si>
  <si>
    <t xml:space="preserve">core_app/new/interface/header/export.md</t>
  </si>
  <si>
    <t xml:space="preserve">Export</t>
  </si>
  <si>
    <t xml:space="preserve">/story/present-and-share/</t>
  </si>
  <si>
    <t xml:space="preserve">Present and share</t>
  </si>
  <si>
    <t xml:space="preserve">core_app/new/interface/header/file.md</t>
  </si>
  <si>
    <t xml:space="preserve">File</t>
  </si>
  <si>
    <t xml:space="preserve">/story/create-a-story/</t>
  </si>
  <si>
    <t xml:space="preserve">Create a story</t>
  </si>
  <si>
    <t xml:space="preserve">Réécrire : une nouvelle vue devient une nouvelle story</t>
  </si>
  <si>
    <t xml:space="preserve">core_app/new/interface/header/header.md</t>
  </si>
  <si>
    <t xml:space="preserve">Solution Interface</t>
  </si>
  <si>
    <t xml:space="preserve">/story/add-and-arrange-slides/</t>
  </si>
  <si>
    <t xml:space="preserve">Add and arrange slides</t>
  </si>
  <si>
    <t xml:space="preserve">Réécrire : l’en-tête de solution devient la gestion des slides</t>
  </si>
  <si>
    <t xml:space="preserve">core_app/new/interface/header/help.md</t>
  </si>
  <si>
    <t xml:space="preserve">Help</t>
  </si>
  <si>
    <t xml:space="preserve">Reference</t>
  </si>
  <si>
    <t xml:space="preserve">/reference/troubleshooting/</t>
  </si>
  <si>
    <t xml:space="preserve">Troubleshooting</t>
  </si>
  <si>
    <t xml:space="preserve">core_app/new/interface/header/solutions_header.md</t>
  </si>
  <si>
    <t xml:space="preserve">Header</t>
  </si>
  <si>
    <t xml:space="preserve">core_app/new/interface/homepage/admin/admin.md</t>
  </si>
  <si>
    <t xml:space="preserve">Homepage - Admin</t>
  </si>
  <si>
    <t xml:space="preserve">/admin/workspace-and-users/</t>
  </si>
  <si>
    <t xml:space="preserve">Workspace and users</t>
  </si>
  <si>
    <t xml:space="preserve">core_app/new/interface/homepage/admin/licences.md</t>
  </si>
  <si>
    <t xml:space="preserve">Licence</t>
  </si>
  <si>
    <t xml:space="preserve">core_app/new/interface/homepage/admin/security.md</t>
  </si>
  <si>
    <t xml:space="preserve">Security</t>
  </si>
  <si>
    <t xml:space="preserve">/admin/security-and-confidentiality/</t>
  </si>
  <si>
    <t xml:space="preserve">Security and confidentiality</t>
  </si>
  <si>
    <t xml:space="preserve">Migrer et compléter (nouvelle page)</t>
  </si>
  <si>
    <t xml:space="preserve">core_app/new/interface/homepage/admin/statistic.md</t>
  </si>
  <si>
    <t xml:space="preserve">Statistics</t>
  </si>
  <si>
    <t xml:space="preserve">core_app/new/interface/homepage/admin/workbook_limits.md</t>
  </si>
  <si>
    <t xml:space="preserve">Workbook Limits</t>
  </si>
  <si>
    <t xml:space="preserve">core_app/new/interface/homepage/get_inspired/Content_CS.md</t>
  </si>
  <si>
    <t xml:space="preserve">Content Square data</t>
  </si>
  <si>
    <t xml:space="preserve">Learn</t>
  </si>
  <si>
    <t xml:space="preserve">/learn/use-cases/</t>
  </si>
  <si>
    <t xml:space="preserve">Use cases by domain</t>
  </si>
  <si>
    <t xml:space="preserve">Relire ; ne migrer que les cas encore valables</t>
  </si>
  <si>
    <t xml:space="preserve">core_app/new/interface/homepage/get_inspired/acquisition_display.md</t>
  </si>
  <si>
    <t xml:space="preserve">Media Acquisition Analysis</t>
  </si>
  <si>
    <t xml:space="preserve">1 illustration maximum</t>
  </si>
  <si>
    <t xml:space="preserve">core_app/new/interface/homepage/get_inspired/anomaly_detection.md</t>
  </si>
  <si>
    <t xml:space="preserve">Anomaly Detection</t>
  </si>
  <si>
    <t xml:space="preserve">core_app/new/interface/homepage/get_inspired/churn_rate.md</t>
  </si>
  <si>
    <t xml:space="preserve">Churn rate Comparison analysis</t>
  </si>
  <si>
    <t xml:space="preserve">core_app/new/interface/homepage/get_inspired/display_campaign.md</t>
  </si>
  <si>
    <t xml:space="preserve">Display Campaign Comparison</t>
  </si>
  <si>
    <t xml:space="preserve">core_app/new/interface/homepage/get_inspired/finance_controlling.md</t>
  </si>
  <si>
    <t xml:space="preserve">Finance Controlling</t>
  </si>
  <si>
    <t xml:space="preserve">core_app/new/interface/homepage/get_inspired/get_inspired.md</t>
  </si>
  <si>
    <t xml:space="preserve">Get inspired</t>
  </si>
  <si>
    <t xml:space="preserve">core_app/new/interface/homepage/get_inspired/marketing_campaign.md</t>
  </si>
  <si>
    <t xml:space="preserve">Marketing Campaign</t>
  </si>
  <si>
    <t xml:space="preserve">core_app/new/interface/homepage/get_inspired/marketing_continuous.md</t>
  </si>
  <si>
    <t xml:space="preserve">Marketing Campaign - Continuous dimensions</t>
  </si>
  <si>
    <t xml:space="preserve">core_app/new/interface/homepage/get_inspired/marketing_scope.md</t>
  </si>
  <si>
    <t xml:space="preserve">Marketing Campaign - Scope</t>
  </si>
  <si>
    <t xml:space="preserve">core_app/new/interface/homepage/get_inspired/product_AB_test.md</t>
  </si>
  <si>
    <t xml:space="preserve">Product - A/B test</t>
  </si>
  <si>
    <t xml:space="preserve">core_app/new/interface/homepage/get_inspired/retail_categories.md</t>
  </si>
  <si>
    <t xml:space="preserve">Retail Categories</t>
  </si>
  <si>
    <t xml:space="preserve">core_app/new/interface/homepage/get_inspired/retail_performance.md</t>
  </si>
  <si>
    <t xml:space="preserve">Retail performance</t>
  </si>
  <si>
    <t xml:space="preserve">core_app/new/interface/homepage/get_inspired/web_performance_GA.md</t>
  </si>
  <si>
    <t xml:space="preserve">Web performance – Google Analytics</t>
  </si>
  <si>
    <t xml:space="preserve">core_app/new/interface/homepage/homepage.md</t>
  </si>
  <si>
    <t xml:space="preserve">Homepage</t>
  </si>
  <si>
    <t xml:space="preserve">/environments/web-app/</t>
  </si>
  <si>
    <t xml:space="preserve">core_app/new/interface/homepage/homepage_header.md</t>
  </si>
  <si>
    <t xml:space="preserve">core_app/new/interface/homepage/user_preferences.md</t>
  </si>
  <si>
    <t xml:space="preserve">User preferences</t>
  </si>
  <si>
    <t xml:space="preserve">core_app/new/interface/homepage/workbooks_management.md</t>
  </si>
  <si>
    <t xml:space="preserve">Workbook Management</t>
  </si>
  <si>
    <t xml:space="preserve">core_app/new/interface/interface.md</t>
  </si>
  <si>
    <t xml:space="preserve">Interface</t>
  </si>
  <si>
    <t xml:space="preserve">Réécrire (visite de la web app Studio)</t>
  </si>
  <si>
    <t xml:space="preserve">core_app/new/interface/payment.md</t>
  </si>
  <si>
    <t xml:space="preserve">Payment</t>
  </si>
  <si>
    <t xml:space="preserve">core_app/new/interface/subheader/dimension_comparison.md</t>
  </si>
  <si>
    <t xml:space="preserve">core_app/new/interface/subheader/dimension_helper.md</t>
  </si>
  <si>
    <t xml:space="preserve">Helpers</t>
  </si>
  <si>
    <t xml:space="preserve">/analysis/metrics-and-dimensions/</t>
  </si>
  <si>
    <t xml:space="preserve">Metrics and dimensions</t>
  </si>
  <si>
    <t xml:space="preserve">Migrer (une seule page au lieu d’une copie par solution)</t>
  </si>
  <si>
    <t xml:space="preserve">core_app/new/interface/subheader/filters.md</t>
  </si>
  <si>
    <t xml:space="preserve">Filters available on every solutions</t>
  </si>
  <si>
    <t xml:space="preserve">/analysis/filters/</t>
  </si>
  <si>
    <t xml:space="preserve">Filters</t>
  </si>
  <si>
    <t xml:space="preserve">core_app/new/interface/subheader/metrics_relation.md</t>
  </si>
  <si>
    <t xml:space="preserve">Metrics relation</t>
  </si>
  <si>
    <t xml:space="preserve">/data/define-your-metrics/</t>
  </si>
  <si>
    <t xml:space="preserve">Define your metrics</t>
  </si>
  <si>
    <t xml:space="preserve">Fusionner (doublon avec Prep › Metric relation)</t>
  </si>
  <si>
    <t xml:space="preserve">core_app/new/interface/subheader/settings.md</t>
  </si>
  <si>
    <t xml:space="preserve">Settings</t>
  </si>
  <si>
    <t xml:space="preserve">Réécrire : le sous-header devient les Story settings</t>
  </si>
  <si>
    <t xml:space="preserve">core_app/new/interface/subheader/settings/aggregation.md</t>
  </si>
  <si>
    <t xml:space="preserve">core_app/new/interface/subheader/settings/clustering.md</t>
  </si>
  <si>
    <t xml:space="preserve">Clustering Settings</t>
  </si>
  <si>
    <t xml:space="preserve">core_app/new/interface/subheader/subheader.md</t>
  </si>
  <si>
    <t xml:space="preserve">Subheader</t>
  </si>
  <si>
    <t xml:space="preserve">core_app/new/journey/general_introduction.md</t>
  </si>
  <si>
    <t xml:space="preserve">General Introduction</t>
  </si>
  <si>
    <t xml:space="preserve">/slide-types/journey/</t>
  </si>
  <si>
    <t xml:space="preserve">Journey</t>
  </si>
  <si>
    <t xml:space="preserve">core_app/new/journey/interface/attribution.md</t>
  </si>
  <si>
    <t xml:space="preserve">Attribution</t>
  </si>
  <si>
    <t xml:space="preserve">/slide-types/journey/attribution/</t>
  </si>
  <si>
    <t xml:space="preserve">Journey › Attribution</t>
  </si>
  <si>
    <t xml:space="preserve">core_app/new/journey/interface/descriptive_comparison.md</t>
  </si>
  <si>
    <t xml:space="preserve">Descriptive Comparison (Journey)</t>
  </si>
  <si>
    <t xml:space="preserve">/slide-types/journey/charts/</t>
  </si>
  <si>
    <t xml:space="preserve">Journey › Charts</t>
  </si>
  <si>
    <t xml:space="preserve">core_app/new/journey/interface/detailed_view.md</t>
  </si>
  <si>
    <t xml:space="preserve">Detailed View</t>
  </si>
  <si>
    <t xml:space="preserve">core_app/new/journey/interface/journey_header.md</t>
  </si>
  <si>
    <t xml:space="preserve">Journey - Settings</t>
  </si>
  <si>
    <t xml:space="preserve">/slide-types/journey/visual-settings/</t>
  </si>
  <si>
    <t xml:space="preserve">Journey › Visual settings</t>
  </si>
  <si>
    <t xml:space="preserve">core_app/new/journey/interface/journey_interface.md</t>
  </si>
  <si>
    <t xml:space="preserve">Journey - Interface</t>
  </si>
  <si>
    <t xml:space="preserve">core_app/new/journey/journey.md</t>
  </si>
  <si>
    <t xml:space="preserve">Datama Journey</t>
  </si>
  <si>
    <t xml:space="preserve">core_app/new/journey/model.md</t>
  </si>
  <si>
    <t xml:space="preserve">Fusionner (page aujourd’hui hors menu, à vérifier)</t>
  </si>
  <si>
    <t xml:space="preserve">core_app/new/journey/use_cases_examples.md</t>
  </si>
  <si>
    <t xml:space="preserve">Use cases examples</t>
  </si>
  <si>
    <t xml:space="preserve">Fusionner dans les cas d’usage</t>
  </si>
  <si>
    <t xml:space="preserve">core_app/new/journey/use_cases_examples/online_acquisition.md</t>
  </si>
  <si>
    <t xml:space="preserve">Acquisition Journey</t>
  </si>
  <si>
    <t xml:space="preserve">core_app/new/journey/use_cases_examples/website_cross_page_journeys.md</t>
  </si>
  <si>
    <t xml:space="preserve">Cross web page journeys</t>
  </si>
  <si>
    <t xml:space="preserve">core_app/new/journey/use_cases_examples/website_intra_page_AB_test.md</t>
  </si>
  <si>
    <t xml:space="preserve">Intra page AB test experience</t>
  </si>
  <si>
    <t xml:space="preserve">core_app/new/pivot/interface/subheader/settings.md</t>
  </si>
  <si>
    <t xml:space="preserve">Pivot - Settings</t>
  </si>
  <si>
    <t xml:space="preserve">/slide-types/pivot/visual-settings/</t>
  </si>
  <si>
    <t xml:space="preserve">Pivot › Visual settings</t>
  </si>
  <si>
    <t xml:space="preserve">core_app/new/pivot/pivot.md</t>
  </si>
  <si>
    <t xml:space="preserve">Datama Pivot</t>
  </si>
  <si>
    <t xml:space="preserve">/slide-types/pivot/</t>
  </si>
  <si>
    <t xml:space="preserve">Pivot</t>
  </si>
  <si>
    <t xml:space="preserve">core_app/new/pivot/pivot_interface.md</t>
  </si>
  <si>
    <t xml:space="preserve">Pivot - Interface</t>
  </si>
  <si>
    <t xml:space="preserve">/slide-types/pivot/charts/</t>
  </si>
  <si>
    <t xml:space="preserve">Pivot › Charts</t>
  </si>
  <si>
    <t xml:space="preserve">core_app/new/pivot/pivot_introduction.md</t>
  </si>
  <si>
    <t xml:space="preserve">Pivot - General introduction</t>
  </si>
  <si>
    <t xml:space="preserve">core_app/new/pivot/settings.md</t>
  </si>
  <si>
    <t xml:space="preserve">Pivot - Settings 1</t>
  </si>
  <si>
    <t xml:space="preserve">core_app/new/prep/dataset.md</t>
  </si>
  <si>
    <t xml:space="preserve">Dataset</t>
  </si>
  <si>
    <t xml:space="preserve">/data/requirements/</t>
  </si>
  <si>
    <t xml:space="preserve">Data requirements</t>
  </si>
  <si>
    <t xml:space="preserve">core_app/new/prep/interface/add_source.md</t>
  </si>
  <si>
    <t xml:space="preserve">Prep - Add Source</t>
  </si>
  <si>
    <t xml:space="preserve">/data/connect-a-source/</t>
  </si>
  <si>
    <t xml:space="preserve">Connect a source</t>
  </si>
  <si>
    <t xml:space="preserve">Découper : une page par source au lieu d’ancres</t>
  </si>
  <si>
    <t xml:space="preserve">core_app/new/prep/interface/block_output.md</t>
  </si>
  <si>
    <t xml:space="preserve">Prep - Output</t>
  </si>
  <si>
    <t xml:space="preserve">core_app/new/prep/interface/calculated_fields.md</t>
  </si>
  <si>
    <t xml:space="preserve">Prep - Calculated fields</t>
  </si>
  <si>
    <t xml:space="preserve">/data/clean-and-transform/</t>
  </si>
  <si>
    <t xml:space="preserve">Clean and transform</t>
  </si>
  <si>
    <t xml:space="preserve">core_app/new/prep/interface/direct_query.md</t>
  </si>
  <si>
    <t xml:space="preserve">Prep - Direct query</t>
  </si>
  <si>
    <t xml:space="preserve">core_app/new/prep/interface/extract_analysis.md</t>
  </si>
  <si>
    <t xml:space="preserve">Prep - Export Analysis</t>
  </si>
  <si>
    <t xml:space="preserve">core_app/new/prep/interface/focusExcluded_dimensions.md</t>
  </si>
  <si>
    <t xml:space="preserve">Prep - Focused and excluded dimensions</t>
  </si>
  <si>
    <t xml:space="preserve">core_app/new/prep/interface/google_trend.md</t>
  </si>
  <si>
    <t xml:space="preserve">Google Trend</t>
  </si>
  <si>
    <t xml:space="preserve">/data/connect-a-source/google-trends/</t>
  </si>
  <si>
    <t xml:space="preserve">Connect a source › Google Trends</t>
  </si>
  <si>
    <t xml:space="preserve">Migrer (page aujourd’hui hors menu)</t>
  </si>
  <si>
    <t xml:space="preserve">core_app/new/prep/interface/metrics_relation.md</t>
  </si>
  <si>
    <t xml:space="preserve">Metric relation</t>
  </si>
  <si>
    <t xml:space="preserve">core_app/new/prep/interface/refine_data.md</t>
  </si>
  <si>
    <t xml:space="preserve">Prep - Refine data</t>
  </si>
  <si>
    <t xml:space="preserve">core_app/new/prep/interface/threshold.md</t>
  </si>
  <si>
    <t xml:space="preserve">Prep - Threshold</t>
  </si>
  <si>
    <t xml:space="preserve">core_app/new/prep/interface/unit.md</t>
  </si>
  <si>
    <t xml:space="preserve">Prep - Unit</t>
  </si>
  <si>
    <t xml:space="preserve">core_app/new/prep/prep.md</t>
  </si>
  <si>
    <t xml:space="preserve">Datama Prep</t>
  </si>
  <si>
    <t xml:space="preserve">/data/</t>
  </si>
  <si>
    <t xml:space="preserve">Prepare your data (index)</t>
  </si>
  <si>
    <t xml:space="preserve">core_app/new/prep/prep_interface.md</t>
  </si>
  <si>
    <t xml:space="preserve">Prep - Interface</t>
  </si>
  <si>
    <t xml:space="preserve">core_app/new/tutorial/first_use.md</t>
  </si>
  <si>
    <t xml:space="preserve">User onboarding</t>
  </si>
  <si>
    <t xml:space="preserve">/start/quick-start/</t>
  </si>
  <si>
    <t xml:space="preserve">Quick start</t>
  </si>
  <si>
    <t xml:space="preserve">Réécrire autour de la story ; l’étape « Check your data » va dans Data requirements</t>
  </si>
  <si>
    <t xml:space="preserve">core_app/new_docs.md</t>
  </si>
  <si>
    <t xml:space="preserve">Documentation</t>
  </si>
  <si>
    <t xml:space="preserve">extensions/datama-assess/concept.md</t>
  </si>
  <si>
    <t xml:space="preserve">Assess - Significance methods</t>
  </si>
  <si>
    <t xml:space="preserve">extensions/datama-assess/introduction.md</t>
  </si>
  <si>
    <t xml:space="preserve">Datama Assess extension</t>
  </si>
  <si>
    <t xml:space="preserve">extensions/datama-assess/settings.md</t>
  </si>
  <si>
    <t xml:space="preserve">Settings of Datama Assess Extension</t>
  </si>
  <si>
    <t xml:space="preserve">extensions/datama-assess/structure.md</t>
  </si>
  <si>
    <t xml:space="preserve">Interface of Datama Assess extension</t>
  </si>
  <si>
    <t xml:space="preserve">extensions/datama-compare/2026-feature.md</t>
  </si>
  <si>
    <t xml:space="preserve">New feature in the redesign Compare 09-2026</t>
  </si>
  <si>
    <t xml:space="preserve">extensions/datama-compare/concept.md</t>
  </si>
  <si>
    <t xml:space="preserve">Datama Compare Concepts</t>
  </si>
  <si>
    <t xml:space="preserve">extensions/datama-compare/introduction.md</t>
  </si>
  <si>
    <t xml:space="preserve">Introduction to Datama Compare</t>
  </si>
  <si>
    <t xml:space="preserve">extensions/datama-compare/market-equation-sub-steps.md</t>
  </si>
  <si>
    <t xml:space="preserve">Market equation Sub-steps</t>
  </si>
  <si>
    <t xml:space="preserve">extensions/datama-compare/out-of-scope.md</t>
  </si>
  <si>
    <t xml:space="preserve">Out of scope segments in Datama Compare</t>
  </si>
  <si>
    <t xml:space="preserve">Fusionner (section Out-of-scope segments)</t>
  </si>
  <si>
    <t xml:space="preserve">extensions/datama-compare/settings.md</t>
  </si>
  <si>
    <t xml:space="preserve">Settings of Datama Compare Extension</t>
  </si>
  <si>
    <t xml:space="preserve">extensions/datama-compare/structure.md</t>
  </si>
  <si>
    <t xml:space="preserve">Datama Compare Extension Interface</t>
  </si>
  <si>
    <t xml:space="preserve">extensions/datama-compare/what-if.md</t>
  </si>
  <si>
    <t xml:space="preserve">What If scenarios in Datama Light</t>
  </si>
  <si>
    <t xml:space="preserve">/analysis/what-if-scenarios/</t>
  </si>
  <si>
    <t xml:space="preserve">What-if scenarios</t>
  </si>
  <si>
    <t xml:space="preserve">Migrer (remonté dans la partie commune)</t>
  </si>
  <si>
    <t xml:space="preserve">extensions/datama-detect/concept.md</t>
  </si>
  <si>
    <t xml:space="preserve">Detect - Detection methods</t>
  </si>
  <si>
    <t xml:space="preserve">extensions/datama-detect/introduction.md</t>
  </si>
  <si>
    <t xml:space="preserve">Datama Detect extension</t>
  </si>
  <si>
    <t xml:space="preserve">extensions/datama-detect/settings.md</t>
  </si>
  <si>
    <t xml:space="preserve">Settings of Datama Detect Extension</t>
  </si>
  <si>
    <t xml:space="preserve">extensions/datama-detect/structure.md</t>
  </si>
  <si>
    <t xml:space="preserve">Interface of Datama Detect Extension</t>
  </si>
  <si>
    <t xml:space="preserve">extensions/datama-explore/concept.md</t>
  </si>
  <si>
    <t xml:space="preserve">Explore - Breakdown and Visualization concepts</t>
  </si>
  <si>
    <t xml:space="preserve">/slide-types/explore/how-it-works/</t>
  </si>
  <si>
    <t xml:space="preserve">Explore › How it works</t>
  </si>
  <si>
    <t xml:space="preserve">extensions/datama-explore/datama-explore.md</t>
  </si>
  <si>
    <t xml:space="preserve">Datama Explore extension</t>
  </si>
  <si>
    <t xml:space="preserve">/slide-types/explore/</t>
  </si>
  <si>
    <t xml:space="preserve">Explore</t>
  </si>
  <si>
    <t xml:space="preserve">extensions/datama-explore/introduction.md</t>
  </si>
  <si>
    <t xml:space="preserve">extensions/datama-explore/settings.md</t>
  </si>
  <si>
    <t xml:space="preserve">Settings of Datama Explore Extension</t>
  </si>
  <si>
    <t xml:space="preserve">/slide-types/explore/visual-settings/</t>
  </si>
  <si>
    <t xml:space="preserve">Explore › Visual settings</t>
  </si>
  <si>
    <t xml:space="preserve">extensions/datama-explore/structure.md</t>
  </si>
  <si>
    <t xml:space="preserve">Interface of Datama Explore extension</t>
  </si>
  <si>
    <t xml:space="preserve">/slide-types/explore/charts/</t>
  </si>
  <si>
    <t xml:space="preserve">Explore › Charts</t>
  </si>
  <si>
    <t xml:space="preserve">extensions/datama-spreadsheet/concept.md</t>
  </si>
  <si>
    <t xml:space="preserve">Spreadsheet and pivot concepts</t>
  </si>
  <si>
    <t xml:space="preserve">/slide-types/spreadsheet/</t>
  </si>
  <si>
    <t xml:space="preserve">Spreadsheet</t>
  </si>
  <si>
    <t xml:space="preserve">BI (Looker Studio, Tableau, Power BI, Qlik)</t>
  </si>
  <si>
    <t xml:space="preserve">extensions/datama-spreadsheet/datama-spreadsheet.md</t>
  </si>
  <si>
    <t xml:space="preserve">Datama Spreadsheet extension</t>
  </si>
  <si>
    <t xml:space="preserve">extensions/datama-spreadsheet/introduction.md</t>
  </si>
  <si>
    <t xml:space="preserve">extensions/datama-spreadsheet/settings.md</t>
  </si>
  <si>
    <t xml:space="preserve">Settings of Datama Spreadsheet extension</t>
  </si>
  <si>
    <t xml:space="preserve">/slide-types/spreadsheet/visual-settings/</t>
  </si>
  <si>
    <t xml:space="preserve">Spreadsheet › Visual settings</t>
  </si>
  <si>
    <t xml:space="preserve">extensions/datama-spreadsheet/structure.md</t>
  </si>
  <si>
    <t xml:space="preserve">Interface of Datama Spreadsheet extension</t>
  </si>
  <si>
    <t xml:space="preserve">extensions/how-to-use/Excel/privacy-policy.md</t>
  </si>
  <si>
    <t xml:space="preserve">Privacy Policy of Datama Compare for Excel Add-in</t>
  </si>
  <si>
    <t xml:space="preserve">/legal/privacy/excel/</t>
  </si>
  <si>
    <t xml:space="preserve">Privacy policy › Excel</t>
  </si>
  <si>
    <t xml:space="preserve">Excel</t>
  </si>
  <si>
    <t xml:space="preserve">Migrer tel quel ; garder l’ancienne URL (Office Store)</t>
  </si>
  <si>
    <t xml:space="preserve">extensions/how-to-use/PowerPoint/privacy-policy.md</t>
  </si>
  <si>
    <t xml:space="preserve">Privacy Policy of HTML viewer by Datama for PowerPoint</t>
  </si>
  <si>
    <t xml:space="preserve">/legal/privacy/powerpoint/</t>
  </si>
  <si>
    <t xml:space="preserve">Privacy policy › PowerPoint</t>
  </si>
  <si>
    <t xml:space="preserve">PowerPoint</t>
  </si>
  <si>
    <t xml:space="preserve">extensions/how-to-use/excel.md</t>
  </si>
  <si>
    <t xml:space="preserve">How to use Datama Light in Excel</t>
  </si>
  <si>
    <t xml:space="preserve">/environments/excel/</t>
  </si>
  <si>
    <t xml:space="preserve">Fusionner : installation et licence ; le reste devient des passages &lt;Env&gt;</t>
  </si>
  <si>
    <t xml:space="preserve">extensions/how-to-use/excel_compare.md</t>
  </si>
  <si>
    <t xml:space="preserve">How to use Datama Compare (Light) in Excel</t>
  </si>
  <si>
    <t xml:space="preserve">extensions/how-to-use/excel_explore.md</t>
  </si>
  <si>
    <t xml:space="preserve">How to use Datama Explore (Light) in Excel</t>
  </si>
  <si>
    <t xml:space="preserve">extensions/how-to-use/google-sheets.md</t>
  </si>
  <si>
    <t xml:space="preserve">How to use Datama Light in Google Sheets™</t>
  </si>
  <si>
    <t xml:space="preserve">/environments/google-sheets/</t>
  </si>
  <si>
    <t xml:space="preserve">Google Sheets</t>
  </si>
  <si>
    <t xml:space="preserve">extensions/how-to-use/google-sheets_compare.md</t>
  </si>
  <si>
    <t xml:space="preserve">How to use Datama Compare (Light) in Google Sheets™</t>
  </si>
  <si>
    <t xml:space="preserve">extensions/how-to-use/index.md</t>
  </si>
  <si>
    <t xml:space="preserve">How to use Datama Extension?</t>
  </si>
  <si>
    <t xml:space="preserve">extensions/how-to-use/looker-studio.md</t>
  </si>
  <si>
    <t xml:space="preserve">How to use Datama Light in Looker Studio</t>
  </si>
  <si>
    <t xml:space="preserve">/environments/looker-studio/</t>
  </si>
  <si>
    <t xml:space="preserve">Looker Studio</t>
  </si>
  <si>
    <t xml:space="preserve">extensions/how-to-use/looker-studio/privacy-policy.md</t>
  </si>
  <si>
    <t xml:space="preserve">Privacy Policy of Datama Extension in Looker Studio</t>
  </si>
  <si>
    <t xml:space="preserve">/legal/privacy/looker-studio/</t>
  </si>
  <si>
    <t xml:space="preserve">Privacy policy › Looker Studio</t>
  </si>
  <si>
    <t xml:space="preserve">Migrer tel quel ; garder l’ancienne URL (manifests Looker Studio)</t>
  </si>
  <si>
    <t xml:space="preserve">extensions/how-to-use/looker-studio_assess.md</t>
  </si>
  <si>
    <t xml:space="preserve">How to use Datama Assess (Light) in Looker Studio</t>
  </si>
  <si>
    <t xml:space="preserve">extensions/how-to-use/looker-studio_compare.md</t>
  </si>
  <si>
    <t xml:space="preserve">How to use Datama Compare (Light) in Looker Studio</t>
  </si>
  <si>
    <t xml:space="preserve">extensions/how-to-use/looker-studio_detect.md</t>
  </si>
  <si>
    <t xml:space="preserve">How to use Datama Detect (Light) in Looker Studio</t>
  </si>
  <si>
    <t xml:space="preserve">extensions/how-to-use/looker-studio_explore.md</t>
  </si>
  <si>
    <t xml:space="preserve">How to use Datama Explore (Light) in Looker Studio</t>
  </si>
  <si>
    <t xml:space="preserve">extensions/how-to-use/looker-studio_spreadsheet.md</t>
  </si>
  <si>
    <t xml:space="preserve">How to use Datama Spreadsheet (Light) in Looker Studio</t>
  </si>
  <si>
    <t xml:space="preserve">extensions/how-to-use/power-bi_assess.md</t>
  </si>
  <si>
    <t xml:space="preserve">How to use Datama Assess (Light) in Power BI</t>
  </si>
  <si>
    <t xml:space="preserve">extensions/how-to-use/power-bi_compare.md</t>
  </si>
  <si>
    <t xml:space="preserve">Datama Compare on Power BI</t>
  </si>
  <si>
    <t xml:space="preserve">extensions/how-to-use/power-bi_detect.md</t>
  </si>
  <si>
    <t xml:space="preserve">How to use Datama Detect (Light) in Power BI</t>
  </si>
  <si>
    <t xml:space="preserve">extensions/how-to-use/power-bi_explore.md</t>
  </si>
  <si>
    <t xml:space="preserve">How to use Datama Explore (Light) in Power BI</t>
  </si>
  <si>
    <t xml:space="preserve">extensions/how-to-use/power-bi_spreadsheet.md</t>
  </si>
  <si>
    <t xml:space="preserve">How to use Datama Spreadsheet (Light) in Power BI</t>
  </si>
  <si>
    <t xml:space="preserve">extensions/how-to-use/power_bi.md</t>
  </si>
  <si>
    <t xml:space="preserve">How to use Datama Light in Power BI</t>
  </si>
  <si>
    <t xml:space="preserve">extensions/how-to-use/powerpoint.md</t>
  </si>
  <si>
    <t xml:space="preserve">How to use Datama Light in PowerPoint</t>
  </si>
  <si>
    <t xml:space="preserve">Fusionner — à arbitrer : PowerPoint devient-il un environnement ?</t>
  </si>
  <si>
    <t xml:space="preserve">extensions/how-to-use/powerpoint_assess.md</t>
  </si>
  <si>
    <t xml:space="preserve">How to use Datama Assess (Light) in PowerPoint</t>
  </si>
  <si>
    <t xml:space="preserve">extensions/how-to-use/powerpoint_compare.md</t>
  </si>
  <si>
    <t xml:space="preserve">How to use Datama Compare (Light) in PowerPoint</t>
  </si>
  <si>
    <t xml:space="preserve">extensions/how-to-use/powerpoint_detect.md</t>
  </si>
  <si>
    <t xml:space="preserve">How to use Datama Detect (Light) in PowerPoint</t>
  </si>
  <si>
    <t xml:space="preserve">extensions/how-to-use/powerpoint_explore.md</t>
  </si>
  <si>
    <t xml:space="preserve">How to use Datama Explore (Light) in PowerPoint</t>
  </si>
  <si>
    <t xml:space="preserve">extensions/how-to-use/pricing_plan_looker.md</t>
  </si>
  <si>
    <t xml:space="preserve">Pricing plan of Datama extensions in Looker Studio</t>
  </si>
  <si>
    <t xml:space="preserve">Fusionner : une section par environnement</t>
  </si>
  <si>
    <t xml:space="preserve">extensions/how-to-use/pricing_plan_pbi.md</t>
  </si>
  <si>
    <t xml:space="preserve">Pricing plan of Datama extensions in Power BI</t>
  </si>
  <si>
    <t xml:space="preserve">extensions/how-to-use/pricing_plan_qlik.md</t>
  </si>
  <si>
    <t xml:space="preserve">Pricing plan of Datama extensions in Qlik</t>
  </si>
  <si>
    <t xml:space="preserve">extensions/how-to-use/pricing_plan_tableau.md</t>
  </si>
  <si>
    <t xml:space="preserve">Pricing plan of Datama extensions in Tableau</t>
  </si>
  <si>
    <t xml:space="preserve">extensions/how-to-use/qlik.md</t>
  </si>
  <si>
    <t xml:space="preserve">How to use Datama Light in Qlik</t>
  </si>
  <si>
    <t xml:space="preserve">/environments/qlik/</t>
  </si>
  <si>
    <t xml:space="preserve">Qlik</t>
  </si>
  <si>
    <t xml:space="preserve">extensions/how-to-use/qlik_assess.md</t>
  </si>
  <si>
    <t xml:space="preserve">How to use Datama Assess (Light) in Qlik</t>
  </si>
  <si>
    <t xml:space="preserve">extensions/how-to-use/qlik_compare.md</t>
  </si>
  <si>
    <t xml:space="preserve">extensions/how-to-use/qlik_detect.md</t>
  </si>
  <si>
    <t xml:space="preserve">How to use Datama Detect (Light) in Qlik</t>
  </si>
  <si>
    <t xml:space="preserve">extensions/how-to-use/qlik_explore.md</t>
  </si>
  <si>
    <t xml:space="preserve">How to use Datama Explore (Light) in Qlik</t>
  </si>
  <si>
    <t xml:space="preserve">extensions/how-to-use/qlik_spreadsheet.md</t>
  </si>
  <si>
    <t xml:space="preserve">How to use Datama Spreadsheet (Light) in Qlik</t>
  </si>
  <si>
    <t xml:space="preserve">extensions/how-to-use/tableau-viz_assess.md</t>
  </si>
  <si>
    <t xml:space="preserve">How to use Datama Assess (Light) in Tableau Viz extension</t>
  </si>
  <si>
    <t xml:space="preserve">extensions/how-to-use/tableau-viz_compare.md</t>
  </si>
  <si>
    <t xml:space="preserve">Datama Compare on Tableau Viz</t>
  </si>
  <si>
    <t xml:space="preserve">extensions/how-to-use/tableau-viz_detect.md</t>
  </si>
  <si>
    <t xml:space="preserve">How to use Datama Detect (Light) in Tableau Viz</t>
  </si>
  <si>
    <t xml:space="preserve">extensions/how-to-use/tableau-viz_explore.md</t>
  </si>
  <si>
    <t xml:space="preserve">How to use Datama Explore (Light) in Tableau Viz</t>
  </si>
  <si>
    <t xml:space="preserve">extensions/how-to-use/tableau-viz_spreadsheet.md</t>
  </si>
  <si>
    <t xml:space="preserve">How to use Datama Spreadsheet (Light) in Tableau Viz</t>
  </si>
  <si>
    <t xml:space="preserve">extensions/how-to-use/tableau_viz.md</t>
  </si>
  <si>
    <t xml:space="preserve">How to use Datama Light in Tableau</t>
  </si>
  <si>
    <t xml:space="preserve">extensions/index.md</t>
  </si>
  <si>
    <t xml:space="preserve">Datama Extension</t>
  </si>
  <si>
    <t xml:space="preserve">extensions/layer-source.md</t>
  </si>
  <si>
    <t xml:space="preserve">Layer Source in Datama Light</t>
  </si>
  <si>
    <t xml:space="preserve">Fusionner (section Layer source)</t>
  </si>
  <si>
    <t xml:space="preserve">extensions/skills/download.md</t>
  </si>
  <si>
    <t xml:space="preserve">Download the Datama Skill</t>
  </si>
  <si>
    <t xml:space="preserve">/environments/ai-skill/</t>
  </si>
  <si>
    <t xml:space="preserve">AI Skill</t>
  </si>
  <si>
    <t xml:space="preserve">Fusionner (4 pages → 1 ou 2)</t>
  </si>
  <si>
    <t xml:space="preserve">extensions/skills/install.md</t>
  </si>
  <si>
    <t xml:space="preserve">Install the Datama Skill</t>
  </si>
  <si>
    <t xml:space="preserve">extensions/skills/introduction.md</t>
  </si>
  <si>
    <t xml:space="preserve">What is a Datama Skill?</t>
  </si>
  <si>
    <t xml:space="preserve">extensions/skills/use.md</t>
  </si>
  <si>
    <t xml:space="preserve">Use the Datama Skill</t>
  </si>
  <si>
    <t xml:space="preserve">home.md</t>
  </si>
  <si>
    <t xml:space="preserve">Home Page</t>
  </si>
  <si>
    <t xml:space="preserve">index.md</t>
  </si>
  <si>
    <t xml:space="preserve">Datama documentation</t>
  </si>
  <si>
    <t xml:space="preserve">Accueil</t>
  </si>
  <si>
    <t xml:space="preserve">/</t>
  </si>
  <si>
    <t xml:space="preserve">Home</t>
  </si>
  <si>
    <t xml:space="preserve">Réécrire (nouvelle page d’accueil)</t>
  </si>
  <si>
    <t xml:space="preserve">release.md</t>
  </si>
  <si>
    <t xml:space="preserve">News</t>
  </si>
  <si>
    <t xml:space="preserve">/reference/release-notes/</t>
  </si>
  <si>
    <t xml:space="preserve">Release notes</t>
  </si>
  <si>
    <t xml:space="preserve">Réécrire (notes de la nouvelle version uniquement)</t>
  </si>
  <si>
    <t xml:space="preserve">tip_of_the_week.md</t>
  </si>
  <si>
    <t xml:space="preserve">Tips of the week !</t>
  </si>
  <si>
    <t xml:space="preserve">/learn/tip-of-the-week/</t>
  </si>
  <si>
    <t xml:space="preserve">Tip of the week</t>
  </si>
  <si>
    <t xml:space="preserve">Réécrire (liste des tips conservés, voir onglet Tips)</t>
  </si>
  <si>
    <t xml:space="preserve">tip_of_the_week_fr.md</t>
  </si>
  <si>
    <t xml:space="preserve">Tips of the week ! In French</t>
  </si>
  <si>
    <t xml:space="preserve">use_cases_of_the_month.md</t>
  </si>
  <si>
    <t xml:space="preserve">Use Cases of the Month</t>
  </si>
  <si>
    <t xml:space="preserve">/learn/use-case-of-the-month/</t>
  </si>
  <si>
    <t xml:space="preserve">Use case of the month</t>
  </si>
  <si>
    <t xml:space="preserve">web_application.md</t>
  </si>
  <si>
    <t xml:space="preserve">Web application</t>
  </si>
  <si>
    <t xml:space="preserve">Pages de la nouvelle doc et leurs sources</t>
  </si>
  <si>
    <t xml:space="preserve">Calculé depuis l’onglet Mapping des pages (formules). Seule la colonne Décision est à remplir.</t>
  </si>
  <si>
    <t xml:space="preserve">Rubrique</t>
  </si>
  <si>
    <t xml:space="preserve">Titre</t>
  </si>
  <si>
    <t xml:space="preserve">Pages sources</t>
  </si>
  <si>
    <t xml:space="preserve">Images cibles</t>
  </si>
  <si>
    <t xml:space="preserve">Type</t>
  </si>
  <si>
    <t xml:space="preserve">Commentaire</t>
  </si>
  <si>
    <t xml:space="preserve">/start/key-concepts/</t>
  </si>
  <si>
    <t xml:space="preserve">Key concepts</t>
  </si>
  <si>
    <t xml:space="preserve">/analysis/read-the-results/</t>
  </si>
  <si>
    <t xml:space="preserve">Read the results</t>
  </si>
  <si>
    <t xml:space="preserve">/reference/settings-a-z/</t>
  </si>
  <si>
    <t xml:space="preserve">All settings A–Z</t>
  </si>
  <si>
    <t xml:space="preserve">/reference/glossary/</t>
  </si>
  <si>
    <t xml:space="preserve">Glossary</t>
  </si>
  <si>
    <t xml:space="preserve">/reference/keyboard-shortcuts/</t>
  </si>
  <si>
    <t xml:space="preserve">Keyboard shortcuts</t>
  </si>
  <si>
    <t xml:space="preserve">Nettoyage des Tips of the week</t>
  </si>
  <si>
    <t xml:space="preserve">Proposition par tip : Garder / Archiver / À vérifier. La décision vaut pour la version EN et la version FR du même numéro. Archiver = retiré de la nouvelle doc (l’ancien fichier reste dans l’historique Git).</t>
  </si>
  <si>
    <t xml:space="preserve">N°</t>
  </si>
  <si>
    <t xml:space="preserve">Date</t>
  </si>
  <si>
    <t xml:space="preserve">Version FR</t>
  </si>
  <si>
    <t xml:space="preserve">Proposition</t>
  </si>
  <si>
    <t xml:space="preserve">Raison</t>
  </si>
  <si>
    <t xml:space="preserve">Fichier (EN)</t>
  </si>
  <si>
    <t xml:space="preserve">2026-10-22</t>
  </si>
  <si>
    <t xml:space="preserve">Tip of the week 196: Four keyboard shortcuts to speed up Datama Compare</t>
  </si>
  <si>
    <t xml:space="preserve">Garder</t>
  </si>
  <si>
    <t xml:space="preserve">Tip récent sur une fonction actuelle</t>
  </si>
  <si>
    <t xml:space="preserve">_posts/tips_of_the_week/2026-10-22-tip-of-the-week-196.md</t>
  </si>
  <si>
    <t xml:space="preserve">2026-10-15</t>
  </si>
  <si>
    <t xml:space="preserve">Tip of the week 195: What If, test a scenario before you commit</t>
  </si>
  <si>
    <t xml:space="preserve">_posts/tips_of_the_week/2026-10-15-tip-of-the-week-195.md</t>
  </si>
  <si>
    <t xml:space="preserve">2026-10-08</t>
  </si>
  <si>
    <t xml:space="preserve">Tip of the week 194: Make your waterfall look like your brand</t>
  </si>
  <si>
    <t xml:space="preserve">_posts/tips_of_the_week/2026-10-08-tip-of-the-week-194.md</t>
  </si>
  <si>
    <t xml:space="preserve">2026-10-01</t>
  </si>
  <si>
    <t xml:space="preserve">Tip of the week 193: Explore your market equation with 'Sub-steps'</t>
  </si>
  <si>
    <t xml:space="preserve">_posts/tips_of_the_week/2026-10-01-tip-of-the-week-193.md</t>
  </si>
  <si>
    <t xml:space="preserve">2026-09-24</t>
  </si>
  <si>
    <t xml:space="preserve">Tip of the week 192: Out of scope, Layer Source &amp; more in Datama Extensions</t>
  </si>
  <si>
    <t xml:space="preserve">_posts/tips_of_the_week/2026-09-24-tip-of-the-week-192.md</t>
  </si>
  <si>
    <t xml:space="preserve">2026-09-17</t>
  </si>
  <si>
    <t xml:space="preserve">Tip of the week 191: New features on the Compare extension</t>
  </si>
  <si>
    <t xml:space="preserve">_posts/tips_of_the_week/2026-09-17-tip-of-the-week-191.md</t>
  </si>
  <si>
    <t xml:space="preserve">2026-09-10</t>
  </si>
  <si>
    <t xml:space="preserve">Tip of the week 190: Stage your waterfall story with 'Sub-pillars'</t>
  </si>
  <si>
    <t xml:space="preserve">_posts/tips_of_the_week/2026-09-10-tip-of-the-week-190.md</t>
  </si>
  <si>
    <t xml:space="preserve">2026-09-01</t>
  </si>
  <si>
    <t xml:space="preserve">Tip of the week 189: The redesigned Datama Compare waterfall is here</t>
  </si>
  <si>
    <t xml:space="preserve">_posts/tips_of_the_week/2026-09-01-tip-of-the-week-189.md</t>
  </si>
  <si>
    <t xml:space="preserve">2026-08-06</t>
  </si>
  <si>
    <t xml:space="preserve">Tip of the week 188: Interactive Datama extension in PowerPoint</t>
  </si>
  <si>
    <t xml:space="preserve">_posts/tips_of_the_week/2026-08-06-tip-of-the-week-188.md</t>
  </si>
  <si>
    <t xml:space="preserve">2026-07-30</t>
  </si>
  <si>
    <t xml:space="preserve">Tip of the week 187: AI-powered Search</t>
  </si>
  <si>
    <t xml:space="preserve">_posts/tips_of_the_week/2026-07-30-tip-of-the-week-187.md</t>
  </si>
  <si>
    <t xml:space="preserve">2026-07-23</t>
  </si>
  <si>
    <t xml:space="preserve">Tip of the week 186: More focused Extension Datama Detect</t>
  </si>
  <si>
    <t xml:space="preserve">_posts/tips_of_the_week/2026-07-23-tip-of-the-week-186.md</t>
  </si>
  <si>
    <t xml:space="preserve">2026-07-16</t>
  </si>
  <si>
    <t xml:space="preserve">Tip of the week 185: How you can benefits from our latest features in your dataViz solutions ?</t>
  </si>
  <si>
    <t xml:space="preserve">À vérifier</t>
  </si>
  <si>
    <t xml:space="preserve">Tip général sur les extensions : vérifier avec Studio</t>
  </si>
  <si>
    <t xml:space="preserve">À décider</t>
  </si>
  <si>
    <t xml:space="preserve">_posts/tips_of_the_week/2026-07-16-tip-of-the-week-185.md</t>
  </si>
  <si>
    <t xml:space="preserve">2026-07-09</t>
  </si>
  <si>
    <t xml:space="preserve">Tip of the week 184: Mix and Performance effects</t>
  </si>
  <si>
    <t xml:space="preserve">_posts/tips_of_the_week/2026-07-09-tip-of-the-week-184.md</t>
  </si>
  <si>
    <t xml:space="preserve">2026-07-02</t>
  </si>
  <si>
    <t xml:space="preserve">Tip of the week 183: Customize your comments with the “Edit sentence” feature</t>
  </si>
  <si>
    <t xml:space="preserve">_posts/tips_of_the_week/2026-07-02-tip-of-the-week-183.md</t>
  </si>
  <si>
    <t xml:space="preserve">2026-06-25</t>
  </si>
  <si>
    <t xml:space="preserve">Tip of the week 182: Analysing your margin carefully</t>
  </si>
  <si>
    <t xml:space="preserve">_posts/tips_of_the_week/2026-06-25-tip-of-the-week-182.md</t>
  </si>
  <si>
    <t xml:space="preserve">2026-06-15</t>
  </si>
  <si>
    <t xml:space="preserve">Tip of the week 181: Datama, right in your AI chat</t>
  </si>
  <si>
    <t xml:space="preserve">_posts/tips_of_the_week/2026-06-15-tip-of-the-week-181.md</t>
  </si>
  <si>
    <t xml:space="preserve">2026-06-11</t>
  </si>
  <si>
    <t xml:space="preserve">Tip of the week 180: Automate your exports 🗓️</t>
  </si>
  <si>
    <t xml:space="preserve">_posts/tips_of_the_week/2026-06-11-tip-of-the-week-180.md</t>
  </si>
  <si>
    <t xml:space="preserve">2026-05-28</t>
  </si>
  <si>
    <t xml:space="preserve">Tip of the week 179: Reverse Axis – change your perspective in a single click</t>
  </si>
  <si>
    <t xml:space="preserve">_posts/tips_of_the_week/2026-05-28-tip-of-the-week-179.md</t>
  </si>
  <si>
    <t xml:space="preserve">2026-05-05</t>
  </si>
  <si>
    <t xml:space="preserve">Tip of the week 178: Use Datama Spreadsheet for Excel-like work on BI data</t>
  </si>
  <si>
    <t xml:space="preserve">_posts/tips_of_the_week/2026-05-05-tip-of-the-week-178.md</t>
  </si>
  <si>
    <t xml:space="preserve">2026-05-04</t>
  </si>
  <si>
    <t xml:space="preserve">Tip of the week 177: Use Datama Compare as a Microsoft Excel add-in</t>
  </si>
  <si>
    <t xml:space="preserve">Recoupe la page Environments › Excel</t>
  </si>
  <si>
    <t xml:space="preserve">_posts/tips_of_the_week/2026-05-04-tip-of-the-week-177.md</t>
  </si>
  <si>
    <t xml:space="preserve">2026-04-30</t>
  </si>
  <si>
    <t xml:space="preserve">Tip of the week 176: ‘Compare by Metric’ in the Compare Light extension</t>
  </si>
  <si>
    <t xml:space="preserve">_posts/tips_of_the_week/2026-04-30-tip-of-the-week-176.md</t>
  </si>
  <si>
    <t xml:space="preserve">2026-04-23</t>
  </si>
  <si>
    <t xml:space="preserve">Tip of the week 175: Adjust your market equation at any time</t>
  </si>
  <si>
    <t xml:space="preserve">_posts/tips_of_the_week/2026-04-23-tip-of-the-week-175.md</t>
  </si>
  <si>
    <t xml:space="preserve">2026-04-16</t>
  </si>
  <si>
    <t xml:space="preserve">Tip of the week 174: 'Compute' or 'Refresh' your workbook</t>
  </si>
  <si>
    <t xml:space="preserve">Parle de workbook : à reformuler en story ?</t>
  </si>
  <si>
    <t xml:space="preserve">_posts/tips_of_the_week/2026-04-16-tip-of-the-week-174.md</t>
  </si>
  <si>
    <t xml:space="preserve">2026-04-09</t>
  </si>
  <si>
    <t xml:space="preserve">Tip of the week 173: Using the Overlay Feature in Datama Explore</t>
  </si>
  <si>
    <t xml:space="preserve">_posts/tips_of_the_week/2026-04-09-tip-of-the-week-173.md</t>
  </si>
  <si>
    <t xml:space="preserve">2026-04-01</t>
  </si>
  <si>
    <t xml:space="preserve">Tip of the week 172: Use Datama as a Google Sheet extension</t>
  </si>
  <si>
    <t xml:space="preserve">Recoupe la page Environments › Google Sheets</t>
  </si>
  <si>
    <t xml:space="preserve">_posts/tips_of_the_week/2026-04-01-tip-of-the-week-172.md</t>
  </si>
  <si>
    <t xml:space="preserve">2026-03-26</t>
  </si>
  <si>
    <t xml:space="preserve">Tip of the week 171: Focused &amp; Excluded Dimensions in the Market Equation</t>
  </si>
  <si>
    <t xml:space="preserve">_posts/tips_of_the_week/2026-03-26-tip-of-the-week-171.md</t>
  </si>
  <si>
    <t xml:space="preserve">2026-03-19</t>
  </si>
  <si>
    <t xml:space="preserve">Tip of the week 170: Create a New Workbook in Seconds</t>
  </si>
  <si>
    <t xml:space="preserve">_posts/tips_of_the_week/2026-03-19-tip-of-the-week-170.md</t>
  </si>
  <si>
    <t xml:space="preserve">2026-02-26</t>
  </si>
  <si>
    <t xml:space="preserve">Tip of the week 169: Dynamic filter enablement</t>
  </si>
  <si>
    <t xml:space="preserve">_posts/tips_of_the_week/2026-02-26-tip-of-the-week-169.md</t>
  </si>
  <si>
    <t xml:space="preserve">2026-02-19</t>
  </si>
  <si>
    <t xml:space="preserve">Tip of the week 168: Secondary Comparison fonctionality</t>
  </si>
  <si>
    <t xml:space="preserve">_posts/tips_of_the_week/2026-02-19-tip-of-the-week-168.md</t>
  </si>
  <si>
    <t xml:space="preserve">2026-02-12</t>
  </si>
  <si>
    <t xml:space="preserve">Tip of the week 167: Give context to your KPIs with Datama Calendar.</t>
  </si>
  <si>
    <t xml:space="preserve">_posts/tips_of_the_week/2026-02-12-tip-of-the-week-167.md</t>
  </si>
  <si>
    <t xml:space="preserve">2026-02-05</t>
  </si>
  <si>
    <t xml:space="preserve">Tip of the week 166: Connect your Metabase data to Datama</t>
  </si>
  <si>
    <t xml:space="preserve">_posts/tips_of_the_week/2026-02-05-tip-of-the-week-166.md</t>
  </si>
  <si>
    <t xml:space="preserve">2026-01-22</t>
  </si>
  <si>
    <t xml:space="preserve">Tip of the week 165: NEW GA4 Annotation available in Calendars</t>
  </si>
  <si>
    <t xml:space="preserve">_posts/tips_of_the_week/2026-01-22-tip-of-the-week-165.md</t>
  </si>
  <si>
    <t xml:space="preserve">2026-01-15</t>
  </si>
  <si>
    <t xml:space="preserve">Tip of the week 164: Make the most of your calendars in Datama</t>
  </si>
  <si>
    <t xml:space="preserve">_posts/tips_of_the_week/2026-01-15-tip-of-the-week-164.md</t>
  </si>
  <si>
    <t xml:space="preserve">2026-01-08</t>
  </si>
  <si>
    <t xml:space="preserve">Tip of the week 163: Heading for 2026</t>
  </si>
  <si>
    <t xml:space="preserve">Archiver</t>
  </si>
  <si>
    <t xml:space="preserve">Message de début d’année, pas un tip</t>
  </si>
  <si>
    <t xml:space="preserve">_posts/tips_of_the_week/2026-01-08-tip-of-the-week-163.md</t>
  </si>
  <si>
    <t xml:space="preserve">2025-12-18</t>
  </si>
  <si>
    <t xml:space="preserve">Tip of the week 162: AI-generated datasets 🤖</t>
  </si>
  <si>
    <t xml:space="preserve">Fonction IA récente</t>
  </si>
  <si>
    <t xml:space="preserve">_posts/tips_of_the_week/2025-12-18-tip-of-the-week-162.md</t>
  </si>
  <si>
    <t xml:space="preserve">2025-12-11</t>
  </si>
  <si>
    <t xml:space="preserve">Tip of the week 161: Unlock dynamic insights with Datama Explore! 💡</t>
  </si>
  <si>
    <t xml:space="preserve">_posts/tips_of_the_week/2025-12-11-tip-of-the-week-161.md</t>
  </si>
  <si>
    <t xml:space="preserve">2025-11-27</t>
  </si>
  <si>
    <t xml:space="preserve">Tip of the week 160: NEW AI generates your market equation ✨</t>
  </si>
  <si>
    <t xml:space="preserve">_posts/tips_of_the_week/2025-11-27-tip-of-the-week-160.md</t>
  </si>
  <si>
    <t xml:space="preserve">2025-11-20</t>
  </si>
  <si>
    <t xml:space="preserve">Tip of the week 159: Ensure Accurate GA4 Data with Datama Prorate ⚖️</t>
  </si>
  <si>
    <t xml:space="preserve">Fonction Prep toujours présente</t>
  </si>
  <si>
    <t xml:space="preserve">_posts/tips_of_the_week/2025-11-20-tip-of-the-week-159.md</t>
  </si>
  <si>
    <t xml:space="preserve">2025-10-30</t>
  </si>
  <si>
    <t xml:space="preserve">Tip of the week 158: Save your customized settings in Datama Extension</t>
  </si>
  <si>
    <t xml:space="preserve">Fonction commune Studio</t>
  </si>
  <si>
    <t xml:space="preserve">_posts/tips_of_the_week/2025-10-30-tip-of-the-week-158.md</t>
  </si>
  <si>
    <t xml:space="preserve">2025-10-23</t>
  </si>
  <si>
    <t xml:space="preserve">Tip of the week 157: New Dimension Helper</t>
  </si>
  <si>
    <t xml:space="preserve">_posts/tips_of_the_week/2025-10-23-tip-of-the-week-157.md</t>
  </si>
  <si>
    <t xml:space="preserve">2025-10-16</t>
  </si>
  <si>
    <t xml:space="preserve">Tip of the week 156: Dimension then Dimension in Datama Compare extension</t>
  </si>
  <si>
    <t xml:space="preserve">_posts/tips_of_the_week/2025-10-16-tip-of-the-week-156.md</t>
  </si>
  <si>
    <t xml:space="preserve">2025-10-09</t>
  </si>
  <si>
    <t xml:space="preserve">Tip of the week 155: Metric comparison in Datama Extension</t>
  </si>
  <si>
    <t xml:space="preserve">_posts/tips_of_the_week/2025-10-09-tip-of-the-week-155.md</t>
  </si>
  <si>
    <t xml:space="preserve">2025-09-25</t>
  </si>
  <si>
    <t xml:space="preserve">Tip of the week 154: Customize Datama extension version in you BI tools 📊</t>
  </si>
  <si>
    <t xml:space="preserve">Gestion des versions des extensions : vérifier avec Studio</t>
  </si>
  <si>
    <t xml:space="preserve">_posts/tips_of_the_week/2025-09-25-tip-of-the-week-154.md</t>
  </si>
  <si>
    <t xml:space="preserve">2025-09-18</t>
  </si>
  <si>
    <t xml:space="preserve">Tip of the week 153: New Cluster Method in Datama Prep</t>
  </si>
  <si>
    <t xml:space="preserve">Vérifier que la fonction existe dans Studio</t>
  </si>
  <si>
    <t xml:space="preserve">_posts/tips_of_the_week/2025-09-18-tip-of-the-week-153.md</t>
  </si>
  <si>
    <t xml:space="preserve">2025-09-11</t>
  </si>
  <si>
    <t xml:space="preserve">Tip of the week 152: Update on GA4 source filtering in Datama Prep</t>
  </si>
  <si>
    <t xml:space="preserve">_posts/tips_of_the_week/2025-09-11-tip-of-the-week-152.md</t>
  </si>
  <si>
    <t xml:space="preserve">2025-08-21</t>
  </si>
  <si>
    <t xml:space="preserve">Tip of the week 151: Use Datama’s extension in Looker Studio</t>
  </si>
  <si>
    <t xml:space="preserve">Remplacé par la page Environments › Looker Studio</t>
  </si>
  <si>
    <t xml:space="preserve">_posts/tips_of_the_week/2025-08-21-tip-of-the-week-151.md</t>
  </si>
  <si>
    <t xml:space="preserve">2025-08-14</t>
  </si>
  <si>
    <t xml:space="preserve">Tip of the week 150: One workbook, multiple exports</t>
  </si>
  <si>
    <t xml:space="preserve">_posts/tips_of_the_week/2025-08-14-tip-of-the-week-150.md</t>
  </si>
  <si>
    <t xml:space="preserve">2025-07-31</t>
  </si>
  <si>
    <t xml:space="preserve">Tip of the week 149: Datama Assess tells you how significant your KPI changes are</t>
  </si>
  <si>
    <t xml:space="preserve">Assess toujours présent</t>
  </si>
  <si>
    <t xml:space="preserve">_posts/tips_of_the_week/2025-07-31-tip-of-the-week-149.md</t>
  </si>
  <si>
    <t xml:space="preserve">2025-07-24</t>
  </si>
  <si>
    <t xml:space="preserve">Tip of the week 148: Enable anomaly detection on the last X points</t>
  </si>
  <si>
    <t xml:space="preserve">Réglage Detect toujours présent</t>
  </si>
  <si>
    <t xml:space="preserve">_posts/tips_of_the_week/2025-07-24-tip-of-the-week-148.md</t>
  </si>
  <si>
    <t xml:space="preserve">2025-07-17</t>
  </si>
  <si>
    <t xml:space="preserve">Tip of the week 147: Get precise GA4 data: no more sampling</t>
  </si>
  <si>
    <t xml:space="preserve">_posts/tips_of_the_week/2025-07-17-tip-of-the-week-147.md</t>
  </si>
  <si>
    <t xml:space="preserve">2025-07-03</t>
  </si>
  <si>
    <t xml:space="preserve">Tip of the week 146: Datama Certification 🏅</t>
  </si>
  <si>
    <t xml:space="preserve">Annonce (certification)</t>
  </si>
  <si>
    <t xml:space="preserve">_posts/tips_of_the_week/2025-07-03-tip-of-the-week-146.md</t>
  </si>
  <si>
    <t xml:space="preserve">2025-06-19</t>
  </si>
  <si>
    <t xml:space="preserve">Tip of the week 145: Detect anomaly on segment of your data (available on Datama Light Extension)</t>
  </si>
  <si>
    <t xml:space="preserve">_posts/tips_of_the_week/2025-06-19-tip-of-the-week-145.md</t>
  </si>
  <si>
    <t xml:space="preserve">2025-06-12</t>
  </si>
  <si>
    <t xml:space="preserve">💡 New article: Handle missing values with Datama Fill-in!</t>
  </si>
  <si>
    <t xml:space="preserve">Pas un tip (annonce, article ou message)</t>
  </si>
  <si>
    <t xml:space="preserve">_posts/tips_of_the_week/2025-06-12-blog-article.md</t>
  </si>
  <si>
    <t xml:space="preserve">2025-05-22</t>
  </si>
  <si>
    <t xml:space="preserve">Tip of the week 144: New functions available for calculated fields in Datama Prep!</t>
  </si>
  <si>
    <t xml:space="preserve">_posts/tips_of_the_week/2025-05-22-tip-of-the-week-144.md</t>
  </si>
  <si>
    <t xml:space="preserve">2025-04-23</t>
  </si>
  <si>
    <t xml:space="preserve">Tip of the week 143: New source  block in Prep: Table Connect</t>
  </si>
  <si>
    <t xml:space="preserve">_posts/tips_of_the_week/2025-04-23-tip-of-the-week-143.md</t>
  </si>
  <si>
    <t xml:space="preserve">2025-04-17</t>
  </si>
  <si>
    <t xml:space="preserve">Tip of the week 142: (Reminder) CTRL + F 🔍 in Datama</t>
  </si>
  <si>
    <t xml:space="preserve">Rappel du tip 88</t>
  </si>
  <si>
    <t xml:space="preserve">_posts/tips_of_the_week/2025-04-17-tip-of-the-week-142.md</t>
  </si>
  <si>
    <t xml:space="preserve">2025-03-27</t>
  </si>
  <si>
    <t xml:space="preserve">Tip of the week 141: Datama Prep «multiple date ranges» available for GA4 and Piano sources!</t>
  </si>
  <si>
    <t xml:space="preserve">_posts/tips_of_the_week/2025-03-27-tip-of-the-week-141.md</t>
  </si>
  <si>
    <t xml:space="preserve">2025-03-13</t>
  </si>
  <si>
    <t xml:space="preserve">🔔 [Reminder] Your opinion matters!</t>
  </si>
  <si>
    <t xml:space="preserve">_posts/tips_of_the_week/2025-03-13-reminder-NPS.md</t>
  </si>
  <si>
    <t xml:space="preserve">2025-02-27</t>
  </si>
  <si>
    <t xml:space="preserve">💬 Tell all to Datama chat!</t>
  </si>
  <si>
    <t xml:space="preserve">_posts/tips_of_the_week/2025-02-27-tip-of-the-week-139.md</t>
  </si>
  <si>
    <t xml:space="preserve">2025-02-13</t>
  </si>
  <si>
    <t xml:space="preserve">New article on blog: (Re)Discover the mix effect with Datama Compare!</t>
  </si>
  <si>
    <t xml:space="preserve">_posts/tips_of_the_week/2025-02-13-tip-of-the-week-138.md</t>
  </si>
  <si>
    <t xml:space="preserve">2025-02-07</t>
  </si>
  <si>
    <t xml:space="preserve">Tip of the week 137: New Views feature!</t>
  </si>
  <si>
    <t xml:space="preserve">Les vues sont remplacées par les stories</t>
  </si>
  <si>
    <t xml:space="preserve">_posts/tips_of_the_week/2025-02-07-tip-of-the-week-137.md</t>
  </si>
  <si>
    <t xml:space="preserve">2025-01-30</t>
  </si>
  <si>
    <t xml:space="preserve">Tip of the week 136: Use the Datama What if block to test your hypotheses!</t>
  </si>
  <si>
    <t xml:space="preserve">Remplacé par le tip 195 (What If)</t>
  </si>
  <si>
    <t xml:space="preserve">_posts/tips_of_the_week/2025-01-30-tip-of-the-week-136.md</t>
  </si>
  <si>
    <t xml:space="preserve">2025-01-16</t>
  </si>
  <si>
    <t xml:space="preserve">Tip of the week 135: New Journey Sankey visualization!</t>
  </si>
  <si>
    <t xml:space="preserve">Visualisation Journey toujours présente</t>
  </si>
  <si>
    <t xml:space="preserve">_posts/tips_of_the_week/2025-01-16-tip-of-the-week-135.md</t>
  </si>
  <si>
    <t xml:space="preserve">2025-01-10</t>
  </si>
  <si>
    <t xml:space="preserve">Tip of the week 134: See how far the analysis of just one metric can take you with Datama auto unpivot function! 🌟</t>
  </si>
  <si>
    <t xml:space="preserve">Vérifier si la fonction existe dans Studio</t>
  </si>
  <si>
    <t xml:space="preserve">_posts/tips_of_the_week/2025-01-10-tip-of-the-week-134.md</t>
  </si>
  <si>
    <t xml:space="preserve">2025-01-02</t>
  </si>
  <si>
    <t xml:space="preserve">Datama wishes you a happy new year 2025! 🎇🎊</t>
  </si>
  <si>
    <t xml:space="preserve">_posts/tips_of_the_week/2025-01-02-happy-new-year.md</t>
  </si>
  <si>
    <t xml:space="preserve">2024-12-20</t>
  </si>
  <si>
    <t xml:space="preserve">Tip of the week 133: Optimize your data with the Datama Aggregation block! 🌟</t>
  </si>
  <si>
    <t xml:space="preserve">Bloc Prep : vérifier dans Studio</t>
  </si>
  <si>
    <t xml:space="preserve">_posts/tips_of_the_week/2024-12-20-tip-of-the-week-133.md</t>
  </si>
  <si>
    <t xml:space="preserve">2024-12-05</t>
  </si>
  <si>
    <t xml:space="preserve">Tip of the Week 132: Cluster dimensions your way!</t>
  </si>
  <si>
    <t xml:space="preserve">_posts/tips_of_the_week/2024-12-05-tip-of-the-week-132.md</t>
  </si>
  <si>
    <t xml:space="preserve">2024-11-28</t>
  </si>
  <si>
    <t xml:space="preserve">Tip of the Week 131: Datama is now Power BI visualization certified!</t>
  </si>
  <si>
    <t xml:space="preserve">Annonce (certification Power BI)</t>
  </si>
  <si>
    <t xml:space="preserve">_posts/tips_of_the_week/2024-11-28-tip-of-the-week-131.md</t>
  </si>
  <si>
    <t xml:space="preserve">2024-11-07</t>
  </si>
  <si>
    <t xml:space="preserve">Tip of the Week 130: Customize comments in your Datama extension!</t>
  </si>
  <si>
    <t xml:space="preserve">Antérieur à 2025 : ancienne interface</t>
  </si>
  <si>
    <t xml:space="preserve">_posts/tips_of_the_week/2024-11-07-tip-of-the-week-130.md</t>
  </si>
  <si>
    <t xml:space="preserve">2024-10-31</t>
  </si>
  <si>
    <t xml:space="preserve">Tip of the Week 129: Retrieve your Datama license keys and extension for your visualization tools 🔓</t>
  </si>
  <si>
    <t xml:space="preserve">Remplacé par les pages Environments</t>
  </si>
  <si>
    <t xml:space="preserve">_posts/tips_of_the_week/2024-10-31-tip-of-the-week-129.md</t>
  </si>
  <si>
    <t xml:space="preserve">2024-10-24</t>
  </si>
  <si>
    <t xml:space="preserve">Tip of the Week 128: Organisation shared credentials 🗝️</t>
  </si>
  <si>
    <t xml:space="preserve">Administration : vérifier le parcours dans Studio</t>
  </si>
  <si>
    <t xml:space="preserve">_posts/tips_of_the_week/2024-10-24-tip-of-the-week-128.md</t>
  </si>
  <si>
    <t xml:space="preserve">2024-10-10</t>
  </si>
  <si>
    <t xml:space="preserve">Tip of the Week 127: Detect anomalies faster than ever! 🌟</t>
  </si>
  <si>
    <t xml:space="preserve">_posts/tips_of_the_week/2024-10-10-tip-of-the-week-127.md</t>
  </si>
  <si>
    <t xml:space="preserve">2024-10-03</t>
  </si>
  <si>
    <t xml:space="preserve">Tip of the Week 126: Take advantage of Smart Interval for more accurate anomaly detection 📈</t>
  </si>
  <si>
    <t xml:space="preserve">Méthode de détection toujours présente</t>
  </si>
  <si>
    <t xml:space="preserve">_posts/tips_of_the_week/2024-10-03-tip-of-the-week-126.md</t>
  </si>
  <si>
    <t xml:space="preserve">2024-09-26</t>
  </si>
  <si>
    <t xml:space="preserve">Tip of the Week 125: A new Radar Chart!</t>
  </si>
  <si>
    <t xml:space="preserve">Graphique Pivot : vérifier dans Studio</t>
  </si>
  <si>
    <t xml:space="preserve">_posts/tips_of_the_week/2024-09-26-tip-of-the-week-125.md</t>
  </si>
  <si>
    <t xml:space="preserve">2024-09-19</t>
  </si>
  <si>
    <t xml:space="preserve">Tip of the Week 124: Leverage our tips to simplify your analysis🌟</t>
  </si>
  <si>
    <t xml:space="preserve">Pas un tip</t>
  </si>
  <si>
    <t xml:space="preserve">_posts/tips_of_the_week/2024-09-19-tip-of-the-week-124.md</t>
  </si>
  <si>
    <t xml:space="preserve">2024-09-12</t>
  </si>
  <si>
    <t xml:space="preserve">New article on blog: GA4 and BigQuery - Mind the Data Gaps!🚦</t>
  </si>
  <si>
    <t xml:space="preserve">_posts/tips_of_the_week/2024-09-12-blog-article.md</t>
  </si>
  <si>
    <t xml:space="preserve">2024-09-05</t>
  </si>
  <si>
    <t xml:space="preserve">Tip of the Week 122: Customise your exports 📨</t>
  </si>
  <si>
    <t xml:space="preserve">_posts/tips_of_the_week/2024-09-05-tip-of-the-week-122.md</t>
  </si>
  <si>
    <t xml:space="preserve">2024-08-29</t>
  </si>
  <si>
    <t xml:space="preserve">Tip of the Week 121: 🛠️ Customize parameters once for all future workbooks 📊</t>
  </si>
  <si>
    <t xml:space="preserve">_posts/tips_of_the_week/2024-08-29-tip-of-the-week-121.md</t>
  </si>
  <si>
    <t xml:space="preserve">2024-07-18</t>
  </si>
  <si>
    <t xml:space="preserve">Tip of the Week 120: New ‘Dimension’ menu in settings</t>
  </si>
  <si>
    <t xml:space="preserve">Ancien menu de réglages</t>
  </si>
  <si>
    <t xml:space="preserve">_posts/tips_of_the_week/2024-07-18-tip-of-the-week-120.md</t>
  </si>
  <si>
    <t xml:space="preserve">2024-07-11</t>
  </si>
  <si>
    <t xml:space="preserve">Tip of the Week 119: Create Your Organization and Invite Your Team Members!</t>
  </si>
  <si>
    <t xml:space="preserve">_posts/tips_of_the_week/2024-07-11-tip-of-the-week-119.md</t>
  </si>
  <si>
    <t xml:space="preserve">2024-07-05</t>
  </si>
  <si>
    <t xml:space="preserve">Tip of the Week 118: Discover the New Ranking Functionality! 📊✨</t>
  </si>
  <si>
    <t xml:space="preserve">_posts/tips_of_the_week/2024-07-05-tip-of-the-week-118.md</t>
  </si>
  <si>
    <t xml:space="preserve">2024-06-27</t>
  </si>
  <si>
    <t xml:space="preserve">Tip of the Week 117: New UI Comparison and filter</t>
  </si>
  <si>
    <t xml:space="preserve">Ancienne interface</t>
  </si>
  <si>
    <t xml:space="preserve">_posts/tips_of_the_week/2024-06-27-tip-of-the-week-117.md</t>
  </si>
  <si>
    <t xml:space="preserve">2024-06-13</t>
  </si>
  <si>
    <t xml:space="preserve">Tip of the Week 116: Reverse waterfall colors for 'negative' KPIs</t>
  </si>
  <si>
    <t xml:space="preserve">Vérifier si le réglage existe dans Studio</t>
  </si>
  <si>
    <t xml:space="preserve">_posts/tips_of_the_week/2024-06-13-tip-of-the-week-116.md</t>
  </si>
  <si>
    <t xml:space="preserve">2024-06-06</t>
  </si>
  <si>
    <t xml:space="preserve">Tip of the Week 115: Quick set up of the market equation</t>
  </si>
  <si>
    <t xml:space="preserve">Remplacé par les tips 160 et 175 (équation de marché)</t>
  </si>
  <si>
    <t xml:space="preserve">_posts/tips_of_the_week/2024-06-06-tip-of-the-week-115.md</t>
  </si>
  <si>
    <t xml:space="preserve">2024-05-23</t>
  </si>
  <si>
    <t xml:space="preserve">Tip of the Week 114: Only flag anomalies above or below the confidence interval</t>
  </si>
  <si>
    <t xml:space="preserve">_posts/tips_of_the_week/2024-05-23-tip-of-the-week-114.md</t>
  </si>
  <si>
    <t xml:space="preserve">2024-04-25</t>
  </si>
  <si>
    <t xml:space="preserve">Tip of the Week 113: Dig deeper into your segments analysis</t>
  </si>
  <si>
    <t xml:space="preserve">_posts/tips_of_the_week/2024-04-25-tip-of-the-week-113.md</t>
  </si>
  <si>
    <t xml:space="preserve">2024-04-18</t>
  </si>
  <si>
    <t xml:space="preserve">Tip of the Week 112: Set automatic opening of waterfall steps</t>
  </si>
  <si>
    <t xml:space="preserve">_posts/tips_of_the_week/2024-04-18-tip-of-the-week-112.md</t>
  </si>
  <si>
    <t xml:space="preserve">2024-04-11</t>
  </si>
  <si>
    <t xml:space="preserve">Tip of the Week 111: New Products page</t>
  </si>
  <si>
    <t xml:space="preserve">Annonce de l’ancien site</t>
  </si>
  <si>
    <t xml:space="preserve">_posts/tips_of_the_week/2024-04-11-tip-of-the-week-111.md</t>
  </si>
  <si>
    <t xml:space="preserve">2024-03-28</t>
  </si>
  <si>
    <t xml:space="preserve">Tip of the Week 110: Give your feedback</t>
  </si>
  <si>
    <t xml:space="preserve">Appel à feedback, pas un tip</t>
  </si>
  <si>
    <t xml:space="preserve">_posts/tips_of_the_week/2024-03-28-tip-of-the-week-110.md</t>
  </si>
  <si>
    <t xml:space="preserve">2024-03-21</t>
  </si>
  <si>
    <t xml:space="preserve">Tip of the Week 109: Display the exit in Journey</t>
  </si>
  <si>
    <t xml:space="preserve">_posts/tips_of_the_week/2024-03-21-tip-of-the-week-109.md</t>
  </si>
  <si>
    <t xml:space="preserve">2024-03-14</t>
  </si>
  <si>
    <t xml:space="preserve">Tip of the Week 108: Reverse sunburst</t>
  </si>
  <si>
    <t xml:space="preserve">_posts/tips_of_the_week/2024-03-14-tip-of-the-week-108.md</t>
  </si>
  <si>
    <t xml:space="preserve">2024-02-29</t>
  </si>
  <si>
    <t xml:space="preserve">Tip of the Week 107: Display Main KPI trend</t>
  </si>
  <si>
    <t xml:space="preserve">_posts/tips_of_the_week/2024-02-29-tip-of-the-week-107.md</t>
  </si>
  <si>
    <t xml:space="preserve">2024-02-15</t>
  </si>
  <si>
    <t xml:space="preserve">Tip of the Week 106: Customise your decision tree</t>
  </si>
  <si>
    <t xml:space="preserve">_posts/tips_of_the_week/2024-02-15-tip-of-the-week-106.md</t>
  </si>
  <si>
    <t xml:space="preserve">2024-02-02</t>
  </si>
  <si>
    <t xml:space="preserve">Tip of the Week 105: Find the segments that explain the variation in a KPI</t>
  </si>
  <si>
    <t xml:space="preserve">Fonction toujours utile, capture d’ancienne interface</t>
  </si>
  <si>
    <t xml:space="preserve">_posts/tips_of_the_week/2024-02-02-tip-of-the-week-105.md</t>
  </si>
  <si>
    <t xml:space="preserve">2024-01-18</t>
  </si>
  <si>
    <t xml:space="preserve">Tip of the Week 104: Change Waterfall colors for a specific workbook</t>
  </si>
  <si>
    <t xml:space="preserve">_posts/tips_of_the_week/2024-01-18-tip-of-the-week-104.md</t>
  </si>
  <si>
    <t xml:space="preserve">2024-01-11</t>
  </si>
  <si>
    <t xml:space="preserve">Tip of the Week 103: New block Join in Datama Prep</t>
  </si>
  <si>
    <t xml:space="preserve">_posts/tips_of_the_week/2024-01-11-tip-of-the-week-103.md</t>
  </si>
  <si>
    <t xml:space="preserve">2024-01-04</t>
  </si>
  <si>
    <t xml:space="preserve">Tip of the Week 102: Pivot Check All steps</t>
  </si>
  <si>
    <t xml:space="preserve">_posts/tips_of_the_week/2024-01-04-tip-of-the-week-102.md</t>
  </si>
  <si>
    <t xml:space="preserve">2023-12-14</t>
  </si>
  <si>
    <t xml:space="preserve">Tip of the Week 101: New Clustering Tree in Pivot</t>
  </si>
  <si>
    <t xml:space="preserve">_posts/tips_of_the_week/2023-12-14-tip-of-the-week-101.md</t>
  </si>
  <si>
    <t xml:space="preserve">2023-12-07</t>
  </si>
  <si>
    <t xml:space="preserve">Tip of the Week 💯: Datama Prep Export</t>
  </si>
  <si>
    <t xml:space="preserve">_posts/tips_of_the_week/2023-12-07-tip-of-the-week-100.md</t>
  </si>
  <si>
    <t xml:space="preserve">2023-11-30</t>
  </si>
  <si>
    <t xml:space="preserve">Tip of the Week 99: Download your Prep data in Excel format</t>
  </si>
  <si>
    <t xml:space="preserve">_posts/tips_of_the_week/2023-11-30-tip-of-the-week-99.md</t>
  </si>
  <si>
    <t xml:space="preserve">2023-11-23</t>
  </si>
  <si>
    <t xml:space="preserve">Tip of the Week 98: Duplicate your source blocks in Datama Prep</t>
  </si>
  <si>
    <t xml:space="preserve">_posts/tips_of_the_week/2023-11-23-tip-of-the-week-98.md</t>
  </si>
  <si>
    <t xml:space="preserve">2023-11-16</t>
  </si>
  <si>
    <t xml:space="preserve">Tip of the Week 97: Attach links to documentation to your workbooks</t>
  </si>
  <si>
    <t xml:space="preserve">_posts/tips_of_the_week/2023-11-16-tip-of-the-week-97.md</t>
  </si>
  <si>
    <t xml:space="preserve">2023-11-09</t>
  </si>
  <si>
    <t xml:space="preserve">Tip of the Week 96: Slideshow mode integrated into Datama</t>
  </si>
  <si>
    <t xml:space="preserve">_posts/tips_of_the_week/2023-11-09-tip-of-the-week-96.md</t>
  </si>
  <si>
    <t xml:space="preserve">2023-10-23</t>
  </si>
  <si>
    <t xml:space="preserve">Tip of the Week 95: New methods for Anomaly Detection</t>
  </si>
  <si>
    <t xml:space="preserve">Méthodes de détection : vérifier qu’elles sont toujours celles de Studio</t>
  </si>
  <si>
    <t xml:space="preserve">_posts/tips_of_the_week/2023-10-23-tip-of-the-week-95.md</t>
  </si>
  <si>
    <t xml:space="preserve">2023-10-16</t>
  </si>
  <si>
    <t xml:space="preserve">Tip of the Week 94: Merging Secondary Comparison</t>
  </si>
  <si>
    <t xml:space="preserve">_posts/tips_of_the_week/2023-10-16-tip-of-the-week-94.md</t>
  </si>
  <si>
    <t xml:space="preserve">2023-10-09</t>
  </si>
  <si>
    <t xml:space="preserve">Tip of the Week 93: New Secondary Comparison displays</t>
  </si>
  <si>
    <t xml:space="preserve">_posts/tips_of_the_week/2023-10-09-tip-of-the-week-93.md</t>
  </si>
  <si>
    <t xml:space="preserve">2023-10-02</t>
  </si>
  <si>
    <t xml:space="preserve">Tip of the Week 92: Datama Compare Tree Chart</t>
  </si>
  <si>
    <t xml:space="preserve">_posts/tips_of_the_week/2023-10-02-tip-of-the-week-92.md</t>
  </si>
  <si>
    <t xml:space="preserve">2023-09-28</t>
  </si>
  <si>
    <t xml:space="preserve">Tip of the Week 91: Piano Analytics Connector</t>
  </si>
  <si>
    <t xml:space="preserve">_posts/tips_of_the_week/2023-09-28-tip-of-the-week-91.md</t>
  </si>
  <si>
    <t xml:space="preserve">2023-09-21</t>
  </si>
  <si>
    <t xml:space="preserve">Tip of the Week 90: Exploring in Compare from Pivot</t>
  </si>
  <si>
    <t xml:space="preserve">_posts/tips_of_the_week/2023-09-21-tip-of-the-week-90.md</t>
  </si>
  <si>
    <t xml:space="preserve">2023-09-14</t>
  </si>
  <si>
    <t xml:space="preserve">Tip of the Week 89: User preferences</t>
  </si>
  <si>
    <t xml:space="preserve">_posts/tips_of_the_week/2023-09-14-tip-of-the-week-89.md</t>
  </si>
  <si>
    <t xml:space="preserve">2023-09-07</t>
  </si>
  <si>
    <t xml:space="preserve">Tip of the Week 88: CTRL + F Search shortcut</t>
  </si>
  <si>
    <t xml:space="preserve">_posts/tips_of_the_week/2023-09-07-tip-of-the-week-88.md</t>
  </si>
  <si>
    <t xml:space="preserve">2023-08-31</t>
  </si>
  <si>
    <t xml:space="preserve">Tip of the Week 87: New workbook view on the HomePage</t>
  </si>
  <si>
    <t xml:space="preserve">_posts/tips_of_the_week/2023-08-31-tip-of-the-week-87.md</t>
  </si>
  <si>
    <t xml:space="preserve">2023-08-04</t>
  </si>
  <si>
    <t xml:space="preserve">Tip of the Week 86: Send exports only when there are alerts</t>
  </si>
  <si>
    <t xml:space="preserve">_posts/tips_of_the_week/2023-08-04-tip-of-the-week-86.md</t>
  </si>
  <si>
    <t xml:space="preserve">2023-08-03</t>
  </si>
  <si>
    <t xml:space="preserve">Tip of the Week 85: Redesign of the Settings menu</t>
  </si>
  <si>
    <t xml:space="preserve">_posts/tips_of_the_week/2023-08-03-tip-of-the-week-85.md</t>
  </si>
  <si>
    <t xml:space="preserve">2023-08-02</t>
  </si>
  <si>
    <t xml:space="preserve">Tip of the Week 84: A new version of Waterfall available</t>
  </si>
  <si>
    <t xml:space="preserve">_posts/tips_of_the_week/2023-08-02-tip-of-the-week-84.md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</si>
</sst>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484A"/>
      <name val="Arial"/>
      <family val="0"/>
      <charset val="1"/>
    </font>
    <font>
      <i val="true"/>
      <sz val="9"/>
      <color rgb="FF33686A"/>
      <name val="Arial"/>
      <family val="0"/>
      <charset val="1"/>
    </font>
    <font>
      <b val="true"/>
      <sz val="11"/>
      <color rgb="FF00484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484A"/>
        <bgColor rgb="FF003300"/>
      </patternFill>
    </fill>
    <fill>
      <patternFill patternType="solid">
        <fgColor rgb="FFFFF8D6"/>
        <bgColor rgb="FFFEEF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DE"/>
      </left>
      <right style="thin">
        <color rgb="FFD5DEDE"/>
      </right>
      <top style="thin">
        <color rgb="FFD5DEDE"/>
      </top>
      <bottom style="thin">
        <color rgb="FFD5DE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048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E3F9F4"/>
        </patternFill>
      </fill>
    </dxf>
    <dxf>
      <fill>
        <patternFill>
          <bgColor rgb="FFFEEFE9"/>
        </patternFill>
      </fill>
    </dxf>
    <dxf>
      <fill>
        <patternFill>
          <bgColor rgb="FFEAF1FE"/>
        </patternFill>
      </fill>
    </dxf>
    <dxf>
      <fill>
        <patternFill patternType="solid">
          <fgColor rgb="FFE3F9F4"/>
          <bgColor rgb="FF000000"/>
        </patternFill>
      </fill>
    </dxf>
    <dxf>
      <fill>
        <patternFill patternType="solid">
          <fgColor rgb="FFFEEF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E3F9F4"/>
      <rgbColor rgb="FF660066"/>
      <rgbColor rgb="FFFF8080"/>
      <rgbColor rgb="FF0066CC"/>
      <rgbColor rgb="FFD5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E"/>
      <rgbColor rgb="FFCCFFCC"/>
      <rgbColor rgb="FFFEEF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86A"/>
      <rgbColor rgb="FF969696"/>
      <rgbColor rgb="FF0048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n">
        <f aca="false">COUNTA('Mapping des pages'!$B$5:$B$218)</f>
        <v>214</v>
      </c>
    </row>
    <row r="6" customFormat="false" ht="15" hidden="false" customHeight="false" outlineLevel="0" collapsed="false">
      <c r="A6" s="4" t="s">
        <v>4</v>
      </c>
      <c r="B6" s="4" t="n">
        <f aca="false">COUNTIF('Mapping des pages'!$I$5:$I$218,"— (non migrée)")</f>
        <v>5</v>
      </c>
    </row>
    <row r="7" customFormat="false" ht="15" hidden="false" customHeight="false" outlineLevel="0" collapsed="false">
      <c r="A7" s="4" t="s">
        <v>5</v>
      </c>
      <c r="B7" s="4" t="n">
        <f aca="false">COUNTA('Pages cibles'!$B$5:$B$75)</f>
        <v>71</v>
      </c>
    </row>
    <row r="8" customFormat="false" ht="15" hidden="false" customHeight="false" outlineLevel="0" collapsed="false">
      <c r="A8" s="4" t="s">
        <v>6</v>
      </c>
      <c r="B8" s="4" t="n">
        <f aca="false">COUNTIF('Pages cibles'!$H$5:$H$75,"Nouvelle page à écrire")</f>
        <v>5</v>
      </c>
    </row>
    <row r="9" customFormat="false" ht="15" hidden="false" customHeight="false" outlineLevel="0" collapsed="false">
      <c r="A9" s="5"/>
      <c r="B9" s="5"/>
    </row>
    <row r="10" customFormat="false" ht="15" hidden="false" customHeight="false" outlineLevel="0" collapsed="false">
      <c r="A10" s="6" t="s">
        <v>7</v>
      </c>
      <c r="B10" s="5"/>
    </row>
    <row r="11" customFormat="false" ht="15" hidden="false" customHeight="false" outlineLevel="0" collapsed="false">
      <c r="A11" s="4" t="s">
        <v>8</v>
      </c>
      <c r="B11" s="4" t="n">
        <f aca="false">COUNTIF('Mapping des pages'!$O$5:$O$218,"À valider")</f>
        <v>214</v>
      </c>
    </row>
    <row r="12" customFormat="false" ht="15" hidden="false" customHeight="false" outlineLevel="0" collapsed="false">
      <c r="A12" s="4" t="s">
        <v>9</v>
      </c>
      <c r="B12" s="4" t="n">
        <f aca="false">COUNTIF('Mapping des pages'!$O$5:$O$218,"Validé")</f>
        <v>0</v>
      </c>
    </row>
    <row r="13" customFormat="false" ht="15" hidden="false" customHeight="false" outlineLevel="0" collapsed="false">
      <c r="A13" s="4" t="s">
        <v>10</v>
      </c>
      <c r="B13" s="4" t="n">
        <f aca="false">COUNTIF('Mapping des pages'!$O$5:$O$218,"Refusé")</f>
        <v>0</v>
      </c>
    </row>
    <row r="14" customFormat="false" ht="15" hidden="false" customHeight="false" outlineLevel="0" collapsed="false">
      <c r="A14" s="4" t="s">
        <v>11</v>
      </c>
      <c r="B14" s="4" t="n">
        <f aca="false">COUNTIF('Mapping des pages'!$O$5:$O$218,"À revoir")</f>
        <v>0</v>
      </c>
    </row>
    <row r="15" customFormat="false" ht="15" hidden="false" customHeight="false" outlineLevel="0" collapsed="false">
      <c r="A15" s="7" t="s">
        <v>12</v>
      </c>
      <c r="B15" s="8" t="n">
        <f aca="false">IF(B5=0,0,(B12+B13)/B5)</f>
        <v>0</v>
      </c>
    </row>
    <row r="16" customFormat="false" ht="15" hidden="false" customHeight="false" outlineLevel="0" collapsed="false">
      <c r="A16" s="5"/>
      <c r="B16" s="5"/>
    </row>
    <row r="17" customFormat="false" ht="15" hidden="false" customHeight="false" outlineLevel="0" collapsed="false">
      <c r="A17" s="6" t="s">
        <v>13</v>
      </c>
      <c r="B17" s="5"/>
    </row>
    <row r="18" customFormat="false" ht="15" hidden="false" customHeight="false" outlineLevel="0" collapsed="false">
      <c r="A18" s="4" t="s">
        <v>14</v>
      </c>
      <c r="B18" s="4" t="n">
        <f aca="false">SUM('Mapping des pages'!$F$5:$F$218)</f>
        <v>735</v>
      </c>
    </row>
    <row r="19" customFormat="false" ht="15" hidden="false" customHeight="false" outlineLevel="0" collapsed="false">
      <c r="A19" s="4" t="s">
        <v>15</v>
      </c>
      <c r="B19" s="4" t="n">
        <f aca="false">SUM('Mapping des pages'!$G$5:$G$218)</f>
        <v>128</v>
      </c>
    </row>
    <row r="20" customFormat="false" ht="15" hidden="false" customHeight="false" outlineLevel="0" collapsed="false">
      <c r="A20" s="4" t="s">
        <v>16</v>
      </c>
      <c r="B20" s="4" t="n">
        <f aca="false">SUM('Mapping des pages'!$N$5:$N$218)</f>
        <v>176</v>
      </c>
    </row>
    <row r="21" customFormat="false" ht="15" hidden="false" customHeight="false" outlineLevel="0" collapsed="false">
      <c r="A21" s="7" t="s">
        <v>17</v>
      </c>
      <c r="B21" s="8" t="n">
        <f aca="false">IF(B18=0,0,1-B20/B18)</f>
        <v>0.760544217687075</v>
      </c>
    </row>
    <row r="22" customFormat="false" ht="15" hidden="false" customHeight="false" outlineLevel="0" collapsed="false">
      <c r="A22" s="5"/>
      <c r="B22" s="5"/>
    </row>
    <row r="23" customFormat="false" ht="15" hidden="false" customHeight="false" outlineLevel="0" collapsed="false">
      <c r="A23" s="6" t="s">
        <v>18</v>
      </c>
      <c r="B23" s="5"/>
    </row>
    <row r="24" customFormat="false" ht="15" hidden="false" customHeight="false" outlineLevel="0" collapsed="false">
      <c r="A24" s="4" t="s">
        <v>19</v>
      </c>
      <c r="B24" s="4" t="n">
        <f aca="false">COUNTA('Tips of the week'!$C$5:$C$119)</f>
        <v>115</v>
      </c>
    </row>
    <row r="25" customFormat="false" ht="15" hidden="false" customHeight="false" outlineLevel="0" collapsed="false">
      <c r="A25" s="4" t="s">
        <v>20</v>
      </c>
      <c r="B25" s="4" t="n">
        <f aca="false">COUNTIF('Tips of the week'!$E$5:$E$119,"Garder")</f>
        <v>41</v>
      </c>
    </row>
    <row r="26" customFormat="false" ht="15" hidden="false" customHeight="false" outlineLevel="0" collapsed="false">
      <c r="A26" s="4" t="s">
        <v>21</v>
      </c>
      <c r="B26" s="4" t="n">
        <f aca="false">COUNTIF('Tips of the week'!$E$5:$E$119,"Archiver")</f>
        <v>45</v>
      </c>
    </row>
    <row r="27" customFormat="false" ht="15" hidden="false" customHeight="false" outlineLevel="0" collapsed="false">
      <c r="A27" s="4" t="s">
        <v>22</v>
      </c>
      <c r="B27" s="4" t="n">
        <f aca="false">COUNTIF('Tips of the week'!$E$5:$E$119,"À vérifier")</f>
        <v>29</v>
      </c>
    </row>
    <row r="28" customFormat="false" ht="15" hidden="false" customHeight="false" outlineLevel="0" collapsed="false">
      <c r="A28" s="4" t="s">
        <v>23</v>
      </c>
      <c r="B28" s="4" t="n">
        <f aca="false">COUNTIF('Tips of the week'!$G$5:$G$119,"Garder")</f>
        <v>41</v>
      </c>
    </row>
    <row r="29" customFormat="false" ht="15" hidden="false" customHeight="false" outlineLevel="0" collapsed="false">
      <c r="A29" s="4" t="s">
        <v>24</v>
      </c>
      <c r="B29" s="4" t="n">
        <f aca="false">COUNTIF('Tips of the week'!$G$5:$G$119,"Archiver")</f>
        <v>45</v>
      </c>
    </row>
    <row r="30" customFormat="false" ht="15" hidden="false" customHeight="false" outlineLevel="0" collapsed="false">
      <c r="A30" s="4" t="s">
        <v>25</v>
      </c>
      <c r="B30" s="4" t="n">
        <f aca="false">COUNTIF('Tips of the week'!$G$5:$G$119,"À décider")</f>
        <v>29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9" t="s">
        <v>27</v>
      </c>
    </row>
    <row r="34" customFormat="false" ht="15" hidden="false" customHeight="false" outlineLevel="0" collapsed="false">
      <c r="A34" s="9" t="s">
        <v>28</v>
      </c>
    </row>
    <row r="35" customFormat="false" ht="15" hidden="false" customHeight="false" outlineLevel="0" collapsed="false">
      <c r="A35" s="9" t="s">
        <v>29</v>
      </c>
    </row>
    <row r="36" customFormat="false" ht="15" hidden="false" customHeight="false" outlineLevel="0" collapsed="false">
      <c r="A36" s="9" t="s">
        <v>30</v>
      </c>
    </row>
    <row r="37" customFormat="false" ht="15" hidden="false" customHeight="false" outlineLevel="0" collapsed="false">
      <c r="A37" s="9" t="s">
        <v>31</v>
      </c>
    </row>
    <row r="38" customFormat="false" ht="15" hidden="false" customHeight="false" outlineLevel="0" collapsed="false">
      <c r="A38" s="9" t="s">
        <v>32</v>
      </c>
    </row>
    <row r="39" customFormat="false" ht="15" hidden="false" customHeight="false" outlineLevel="0" collapsed="false">
      <c r="A39" s="9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7" min="5" style="0" width="8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46"/>
    <col collapsed="false" customWidth="true" hidden="false" outlineLevel="0" max="13" min="13" style="0" width="40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36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31.5" hidden="false" customHeight="true" outlineLevel="0" collapsed="false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13</v>
      </c>
      <c r="G4" s="10" t="s">
        <v>15</v>
      </c>
      <c r="H4" s="10" t="s">
        <v>41</v>
      </c>
      <c r="I4" s="10" t="s">
        <v>42</v>
      </c>
      <c r="J4" s="10" t="s">
        <v>43</v>
      </c>
      <c r="K4" s="10" t="s">
        <v>44</v>
      </c>
      <c r="L4" s="10" t="s">
        <v>45</v>
      </c>
      <c r="M4" s="10" t="s">
        <v>46</v>
      </c>
      <c r="N4" s="10" t="s">
        <v>16</v>
      </c>
      <c r="O4" s="10" t="s">
        <v>47</v>
      </c>
      <c r="P4" s="10" t="s">
        <v>48</v>
      </c>
    </row>
    <row r="5" customFormat="false" ht="23.85" hidden="false" customHeight="false" outlineLevel="0" collapsed="false">
      <c r="A5" s="11" t="n">
        <v>1</v>
      </c>
      <c r="B5" s="11" t="s">
        <v>49</v>
      </c>
      <c r="C5" s="11" t="s">
        <v>50</v>
      </c>
      <c r="D5" s="11" t="s">
        <v>51</v>
      </c>
      <c r="E5" s="11" t="n">
        <v>2803</v>
      </c>
      <c r="F5" s="11" t="n">
        <v>0</v>
      </c>
      <c r="G5" s="11" t="n">
        <v>0</v>
      </c>
      <c r="H5" s="11" t="s">
        <v>52</v>
      </c>
      <c r="I5" s="11" t="s">
        <v>53</v>
      </c>
      <c r="J5" s="11" t="s">
        <v>54</v>
      </c>
      <c r="K5" s="11" t="s">
        <v>55</v>
      </c>
      <c r="L5" s="11" t="s">
        <v>56</v>
      </c>
      <c r="M5" s="11" t="s">
        <v>57</v>
      </c>
      <c r="N5" s="12" t="n">
        <v>0</v>
      </c>
      <c r="O5" s="13" t="s">
        <v>8</v>
      </c>
      <c r="P5" s="13"/>
    </row>
    <row r="6" customFormat="false" ht="15" hidden="false" customHeight="false" outlineLevel="0" collapsed="false">
      <c r="A6" s="11" t="n">
        <v>2</v>
      </c>
      <c r="B6" s="11" t="s">
        <v>58</v>
      </c>
      <c r="C6" s="11" t="s">
        <v>59</v>
      </c>
      <c r="D6" s="11" t="s">
        <v>51</v>
      </c>
      <c r="E6" s="11" t="n">
        <v>0</v>
      </c>
      <c r="F6" s="11" t="n">
        <v>0</v>
      </c>
      <c r="G6" s="11" t="n">
        <v>0</v>
      </c>
      <c r="H6" s="11" t="s">
        <v>57</v>
      </c>
      <c r="I6" s="11" t="s">
        <v>60</v>
      </c>
      <c r="J6" s="11" t="s">
        <v>57</v>
      </c>
      <c r="K6" s="11" t="s">
        <v>57</v>
      </c>
      <c r="L6" s="11" t="s">
        <v>61</v>
      </c>
      <c r="M6" s="11" t="s">
        <v>62</v>
      </c>
      <c r="N6" s="12" t="n">
        <v>0</v>
      </c>
      <c r="O6" s="13" t="s">
        <v>8</v>
      </c>
      <c r="P6" s="13"/>
    </row>
    <row r="7" customFormat="false" ht="23.85" hidden="false" customHeight="false" outlineLevel="0" collapsed="false">
      <c r="A7" s="11" t="n">
        <v>3</v>
      </c>
      <c r="B7" s="11" t="s">
        <v>63</v>
      </c>
      <c r="C7" s="11" t="s">
        <v>64</v>
      </c>
      <c r="D7" s="11" t="s">
        <v>51</v>
      </c>
      <c r="E7" s="11" t="n">
        <v>4530</v>
      </c>
      <c r="F7" s="11" t="n">
        <v>0</v>
      </c>
      <c r="G7" s="11" t="n">
        <v>0</v>
      </c>
      <c r="H7" s="11" t="s">
        <v>52</v>
      </c>
      <c r="I7" s="11" t="s">
        <v>65</v>
      </c>
      <c r="J7" s="11" t="s">
        <v>66</v>
      </c>
      <c r="K7" s="11" t="s">
        <v>55</v>
      </c>
      <c r="L7" s="11" t="s">
        <v>56</v>
      </c>
      <c r="M7" s="11" t="s">
        <v>57</v>
      </c>
      <c r="N7" s="12" t="n">
        <v>0</v>
      </c>
      <c r="O7" s="13" t="s">
        <v>8</v>
      </c>
      <c r="P7" s="13"/>
    </row>
    <row r="8" customFormat="false" ht="23.85" hidden="false" customHeight="false" outlineLevel="0" collapsed="false">
      <c r="A8" s="11" t="n">
        <v>4</v>
      </c>
      <c r="B8" s="11" t="s">
        <v>67</v>
      </c>
      <c r="C8" s="11" t="s">
        <v>50</v>
      </c>
      <c r="D8" s="11" t="s">
        <v>51</v>
      </c>
      <c r="E8" s="11" t="n">
        <v>2803</v>
      </c>
      <c r="F8" s="11" t="n">
        <v>0</v>
      </c>
      <c r="G8" s="11" t="n">
        <v>0</v>
      </c>
      <c r="H8" s="11" t="s">
        <v>52</v>
      </c>
      <c r="I8" s="11" t="s">
        <v>53</v>
      </c>
      <c r="J8" s="11" t="s">
        <v>54</v>
      </c>
      <c r="K8" s="11" t="s">
        <v>55</v>
      </c>
      <c r="L8" s="11" t="s">
        <v>56</v>
      </c>
      <c r="M8" s="11" t="s">
        <v>57</v>
      </c>
      <c r="N8" s="12" t="n">
        <v>0</v>
      </c>
      <c r="O8" s="13" t="s">
        <v>8</v>
      </c>
      <c r="P8" s="13"/>
    </row>
    <row r="9" customFormat="false" ht="23.85" hidden="false" customHeight="false" outlineLevel="0" collapsed="false">
      <c r="A9" s="11" t="n">
        <v>5</v>
      </c>
      <c r="B9" s="11" t="s">
        <v>68</v>
      </c>
      <c r="C9" s="11" t="s">
        <v>64</v>
      </c>
      <c r="D9" s="11" t="s">
        <v>51</v>
      </c>
      <c r="E9" s="11" t="n">
        <v>4532</v>
      </c>
      <c r="F9" s="11" t="n">
        <v>0</v>
      </c>
      <c r="G9" s="11" t="n">
        <v>0</v>
      </c>
      <c r="H9" s="11" t="s">
        <v>52</v>
      </c>
      <c r="I9" s="11" t="s">
        <v>65</v>
      </c>
      <c r="J9" s="11" t="s">
        <v>66</v>
      </c>
      <c r="K9" s="11" t="s">
        <v>55</v>
      </c>
      <c r="L9" s="11" t="s">
        <v>56</v>
      </c>
      <c r="M9" s="11" t="s">
        <v>57</v>
      </c>
      <c r="N9" s="12" t="n">
        <v>0</v>
      </c>
      <c r="O9" s="13" t="s">
        <v>8</v>
      </c>
      <c r="P9" s="13"/>
    </row>
    <row r="10" customFormat="false" ht="15" hidden="false" customHeight="false" outlineLevel="0" collapsed="false">
      <c r="A10" s="11" t="n">
        <v>6</v>
      </c>
      <c r="B10" s="11" t="s">
        <v>69</v>
      </c>
      <c r="C10" s="11" t="s">
        <v>70</v>
      </c>
      <c r="D10" s="11" t="s">
        <v>71</v>
      </c>
      <c r="E10" s="11" t="n">
        <v>122</v>
      </c>
      <c r="F10" s="11" t="n">
        <v>0</v>
      </c>
      <c r="G10" s="11" t="n">
        <v>0</v>
      </c>
      <c r="H10" s="11" t="s">
        <v>57</v>
      </c>
      <c r="I10" s="11" t="s">
        <v>60</v>
      </c>
      <c r="J10" s="11" t="s">
        <v>57</v>
      </c>
      <c r="K10" s="11" t="s">
        <v>57</v>
      </c>
      <c r="L10" s="11" t="s">
        <v>72</v>
      </c>
      <c r="M10" s="11" t="s">
        <v>62</v>
      </c>
      <c r="N10" s="12" t="n">
        <v>0</v>
      </c>
      <c r="O10" s="13" t="s">
        <v>8</v>
      </c>
      <c r="P10" s="13"/>
    </row>
    <row r="11" customFormat="false" ht="23.85" hidden="false" customHeight="false" outlineLevel="0" collapsed="false">
      <c r="A11" s="11" t="n">
        <v>7</v>
      </c>
      <c r="B11" s="11" t="s">
        <v>73</v>
      </c>
      <c r="C11" s="11" t="s">
        <v>74</v>
      </c>
      <c r="D11" s="11" t="s">
        <v>51</v>
      </c>
      <c r="E11" s="11" t="n">
        <v>601</v>
      </c>
      <c r="F11" s="11" t="n">
        <v>0</v>
      </c>
      <c r="G11" s="11" t="n">
        <v>0</v>
      </c>
      <c r="H11" s="11" t="s">
        <v>52</v>
      </c>
      <c r="I11" s="11" t="s">
        <v>75</v>
      </c>
      <c r="J11" s="11" t="s">
        <v>76</v>
      </c>
      <c r="K11" s="11" t="s">
        <v>77</v>
      </c>
      <c r="L11" s="11" t="s">
        <v>78</v>
      </c>
      <c r="M11" s="11" t="s">
        <v>57</v>
      </c>
      <c r="N11" s="12" t="n">
        <v>0</v>
      </c>
      <c r="O11" s="13" t="s">
        <v>8</v>
      </c>
      <c r="P11" s="13"/>
    </row>
    <row r="12" customFormat="false" ht="23.85" hidden="false" customHeight="false" outlineLevel="0" collapsed="false">
      <c r="A12" s="11" t="n">
        <v>8</v>
      </c>
      <c r="B12" s="11" t="s">
        <v>79</v>
      </c>
      <c r="C12" s="11" t="s">
        <v>64</v>
      </c>
      <c r="D12" s="11" t="s">
        <v>51</v>
      </c>
      <c r="E12" s="11" t="n">
        <v>4530</v>
      </c>
      <c r="F12" s="11" t="n">
        <v>0</v>
      </c>
      <c r="G12" s="11" t="n">
        <v>0</v>
      </c>
      <c r="H12" s="11" t="s">
        <v>52</v>
      </c>
      <c r="I12" s="11" t="s">
        <v>65</v>
      </c>
      <c r="J12" s="11" t="s">
        <v>66</v>
      </c>
      <c r="K12" s="11" t="s">
        <v>55</v>
      </c>
      <c r="L12" s="11" t="s">
        <v>56</v>
      </c>
      <c r="M12" s="11" t="s">
        <v>57</v>
      </c>
      <c r="N12" s="12" t="n">
        <v>0</v>
      </c>
      <c r="O12" s="13" t="s">
        <v>8</v>
      </c>
      <c r="P12" s="13"/>
    </row>
    <row r="13" customFormat="false" ht="23.85" hidden="false" customHeight="false" outlineLevel="0" collapsed="false">
      <c r="A13" s="11" t="n">
        <v>9</v>
      </c>
      <c r="B13" s="11" t="s">
        <v>80</v>
      </c>
      <c r="C13" s="11" t="s">
        <v>50</v>
      </c>
      <c r="D13" s="11" t="s">
        <v>71</v>
      </c>
      <c r="E13" s="11" t="n">
        <v>2803</v>
      </c>
      <c r="F13" s="11" t="n">
        <v>0</v>
      </c>
      <c r="G13" s="11" t="n">
        <v>0</v>
      </c>
      <c r="H13" s="11" t="s">
        <v>52</v>
      </c>
      <c r="I13" s="11" t="s">
        <v>53</v>
      </c>
      <c r="J13" s="11" t="s">
        <v>54</v>
      </c>
      <c r="K13" s="11" t="s">
        <v>55</v>
      </c>
      <c r="L13" s="11" t="s">
        <v>56</v>
      </c>
      <c r="M13" s="11" t="s">
        <v>57</v>
      </c>
      <c r="N13" s="12" t="n">
        <v>0</v>
      </c>
      <c r="O13" s="13" t="s">
        <v>8</v>
      </c>
      <c r="P13" s="13"/>
    </row>
    <row r="14" customFormat="false" ht="23.85" hidden="false" customHeight="false" outlineLevel="0" collapsed="false">
      <c r="A14" s="11" t="n">
        <v>10</v>
      </c>
      <c r="B14" s="11" t="s">
        <v>81</v>
      </c>
      <c r="C14" s="11" t="s">
        <v>64</v>
      </c>
      <c r="D14" s="11" t="s">
        <v>71</v>
      </c>
      <c r="E14" s="11" t="n">
        <v>4532</v>
      </c>
      <c r="F14" s="11" t="n">
        <v>0</v>
      </c>
      <c r="G14" s="11" t="n">
        <v>0</v>
      </c>
      <c r="H14" s="11" t="s">
        <v>52</v>
      </c>
      <c r="I14" s="11" t="s">
        <v>65</v>
      </c>
      <c r="J14" s="11" t="s">
        <v>66</v>
      </c>
      <c r="K14" s="11" t="s">
        <v>55</v>
      </c>
      <c r="L14" s="11" t="s">
        <v>56</v>
      </c>
      <c r="M14" s="11" t="s">
        <v>57</v>
      </c>
      <c r="N14" s="12" t="n">
        <v>0</v>
      </c>
      <c r="O14" s="13" t="s">
        <v>8</v>
      </c>
      <c r="P14" s="13"/>
    </row>
    <row r="15" customFormat="false" ht="23.85" hidden="false" customHeight="false" outlineLevel="0" collapsed="false">
      <c r="A15" s="11" t="n">
        <v>11</v>
      </c>
      <c r="B15" s="11" t="s">
        <v>82</v>
      </c>
      <c r="C15" s="11" t="s">
        <v>83</v>
      </c>
      <c r="D15" s="11" t="s">
        <v>71</v>
      </c>
      <c r="E15" s="11" t="n">
        <v>145</v>
      </c>
      <c r="F15" s="11" t="n">
        <v>2</v>
      </c>
      <c r="G15" s="11" t="n">
        <v>0</v>
      </c>
      <c r="H15" s="11" t="s">
        <v>84</v>
      </c>
      <c r="I15" s="11" t="s">
        <v>85</v>
      </c>
      <c r="J15" s="11" t="s">
        <v>86</v>
      </c>
      <c r="K15" s="11" t="s">
        <v>55</v>
      </c>
      <c r="L15" s="11" t="s">
        <v>87</v>
      </c>
      <c r="M15" s="11" t="s">
        <v>88</v>
      </c>
      <c r="N15" s="12" t="n">
        <v>1</v>
      </c>
      <c r="O15" s="13" t="s">
        <v>8</v>
      </c>
      <c r="P15" s="13"/>
    </row>
    <row r="16" customFormat="false" ht="23.85" hidden="false" customHeight="false" outlineLevel="0" collapsed="false">
      <c r="A16" s="11" t="n">
        <v>12</v>
      </c>
      <c r="B16" s="11" t="s">
        <v>89</v>
      </c>
      <c r="C16" s="11" t="s">
        <v>90</v>
      </c>
      <c r="D16" s="11" t="s">
        <v>71</v>
      </c>
      <c r="E16" s="11" t="n">
        <v>40</v>
      </c>
      <c r="F16" s="11" t="n">
        <v>1</v>
      </c>
      <c r="G16" s="11" t="n">
        <v>0</v>
      </c>
      <c r="H16" s="11" t="s">
        <v>84</v>
      </c>
      <c r="I16" s="11" t="s">
        <v>91</v>
      </c>
      <c r="J16" s="11" t="s">
        <v>92</v>
      </c>
      <c r="K16" s="11" t="s">
        <v>55</v>
      </c>
      <c r="L16" s="11" t="s">
        <v>87</v>
      </c>
      <c r="M16" s="11" t="s">
        <v>88</v>
      </c>
      <c r="N16" s="12" t="n">
        <v>1</v>
      </c>
      <c r="O16" s="13" t="s">
        <v>8</v>
      </c>
      <c r="P16" s="13"/>
    </row>
    <row r="17" customFormat="false" ht="23.85" hidden="false" customHeight="false" outlineLevel="0" collapsed="false">
      <c r="A17" s="11" t="n">
        <v>13</v>
      </c>
      <c r="B17" s="11" t="s">
        <v>93</v>
      </c>
      <c r="C17" s="11" t="s">
        <v>94</v>
      </c>
      <c r="D17" s="11" t="s">
        <v>71</v>
      </c>
      <c r="E17" s="11" t="n">
        <v>383</v>
      </c>
      <c r="F17" s="11" t="n">
        <v>3</v>
      </c>
      <c r="G17" s="11" t="n">
        <v>1</v>
      </c>
      <c r="H17" s="11" t="s">
        <v>84</v>
      </c>
      <c r="I17" s="11" t="s">
        <v>85</v>
      </c>
      <c r="J17" s="11" t="s">
        <v>86</v>
      </c>
      <c r="K17" s="11" t="s">
        <v>55</v>
      </c>
      <c r="L17" s="11" t="s">
        <v>87</v>
      </c>
      <c r="M17" s="11" t="s">
        <v>88</v>
      </c>
      <c r="N17" s="12" t="n">
        <v>1</v>
      </c>
      <c r="O17" s="13" t="s">
        <v>8</v>
      </c>
      <c r="P17" s="13"/>
    </row>
    <row r="18" customFormat="false" ht="23.85" hidden="false" customHeight="false" outlineLevel="0" collapsed="false">
      <c r="A18" s="11" t="n">
        <v>14</v>
      </c>
      <c r="B18" s="11" t="s">
        <v>95</v>
      </c>
      <c r="C18" s="11" t="s">
        <v>96</v>
      </c>
      <c r="D18" s="11" t="s">
        <v>71</v>
      </c>
      <c r="E18" s="11" t="n">
        <v>239</v>
      </c>
      <c r="F18" s="11" t="n">
        <v>2</v>
      </c>
      <c r="G18" s="11" t="n">
        <v>0</v>
      </c>
      <c r="H18" s="11" t="s">
        <v>84</v>
      </c>
      <c r="I18" s="11" t="s">
        <v>85</v>
      </c>
      <c r="J18" s="11" t="s">
        <v>86</v>
      </c>
      <c r="K18" s="11" t="s">
        <v>55</v>
      </c>
      <c r="L18" s="11" t="s">
        <v>87</v>
      </c>
      <c r="M18" s="11" t="s">
        <v>88</v>
      </c>
      <c r="N18" s="12" t="n">
        <v>1</v>
      </c>
      <c r="O18" s="13" t="s">
        <v>8</v>
      </c>
      <c r="P18" s="13"/>
    </row>
    <row r="19" customFormat="false" ht="15" hidden="false" customHeight="false" outlineLevel="0" collapsed="false">
      <c r="A19" s="11" t="n">
        <v>15</v>
      </c>
      <c r="B19" s="11" t="s">
        <v>97</v>
      </c>
      <c r="C19" s="11" t="s">
        <v>98</v>
      </c>
      <c r="D19" s="11" t="s">
        <v>71</v>
      </c>
      <c r="E19" s="11" t="n">
        <v>180</v>
      </c>
      <c r="F19" s="11" t="n">
        <v>0</v>
      </c>
      <c r="G19" s="11" t="n">
        <v>0</v>
      </c>
      <c r="H19" s="11" t="s">
        <v>84</v>
      </c>
      <c r="I19" s="11" t="s">
        <v>99</v>
      </c>
      <c r="J19" s="11" t="s">
        <v>100</v>
      </c>
      <c r="K19" s="11" t="s">
        <v>55</v>
      </c>
      <c r="L19" s="11" t="s">
        <v>101</v>
      </c>
      <c r="M19" s="11" t="s">
        <v>57</v>
      </c>
      <c r="N19" s="12" t="n">
        <v>0</v>
      </c>
      <c r="O19" s="13" t="s">
        <v>8</v>
      </c>
      <c r="P19" s="13"/>
    </row>
    <row r="20" customFormat="false" ht="15" hidden="false" customHeight="false" outlineLevel="0" collapsed="false">
      <c r="A20" s="11" t="n">
        <v>16</v>
      </c>
      <c r="B20" s="11" t="s">
        <v>102</v>
      </c>
      <c r="C20" s="11" t="s">
        <v>103</v>
      </c>
      <c r="D20" s="11" t="s">
        <v>71</v>
      </c>
      <c r="E20" s="11" t="n">
        <v>52</v>
      </c>
      <c r="F20" s="11" t="n">
        <v>1</v>
      </c>
      <c r="G20" s="11" t="n">
        <v>0</v>
      </c>
      <c r="H20" s="11" t="s">
        <v>84</v>
      </c>
      <c r="I20" s="11" t="s">
        <v>99</v>
      </c>
      <c r="J20" s="11" t="s">
        <v>100</v>
      </c>
      <c r="K20" s="11" t="s">
        <v>55</v>
      </c>
      <c r="L20" s="11" t="s">
        <v>101</v>
      </c>
      <c r="M20" s="11" t="s">
        <v>104</v>
      </c>
      <c r="N20" s="12" t="n">
        <v>1</v>
      </c>
      <c r="O20" s="13" t="s">
        <v>8</v>
      </c>
      <c r="P20" s="13"/>
    </row>
    <row r="21" customFormat="false" ht="15" hidden="false" customHeight="false" outlineLevel="0" collapsed="false">
      <c r="A21" s="11" t="n">
        <v>17</v>
      </c>
      <c r="B21" s="11" t="s">
        <v>105</v>
      </c>
      <c r="C21" s="11" t="s">
        <v>106</v>
      </c>
      <c r="D21" s="11" t="s">
        <v>71</v>
      </c>
      <c r="E21" s="11" t="n">
        <v>183</v>
      </c>
      <c r="F21" s="11" t="n">
        <v>1</v>
      </c>
      <c r="G21" s="11" t="n">
        <v>0</v>
      </c>
      <c r="H21" s="11" t="s">
        <v>84</v>
      </c>
      <c r="I21" s="11" t="s">
        <v>99</v>
      </c>
      <c r="J21" s="11" t="s">
        <v>100</v>
      </c>
      <c r="K21" s="11" t="s">
        <v>55</v>
      </c>
      <c r="L21" s="11" t="s">
        <v>101</v>
      </c>
      <c r="M21" s="11" t="s">
        <v>104</v>
      </c>
      <c r="N21" s="12" t="n">
        <v>1</v>
      </c>
      <c r="O21" s="13" t="s">
        <v>8</v>
      </c>
      <c r="P21" s="13"/>
    </row>
    <row r="22" customFormat="false" ht="15" hidden="false" customHeight="false" outlineLevel="0" collapsed="false">
      <c r="A22" s="11" t="n">
        <v>18</v>
      </c>
      <c r="B22" s="11" t="s">
        <v>107</v>
      </c>
      <c r="C22" s="11" t="s">
        <v>108</v>
      </c>
      <c r="D22" s="11" t="s">
        <v>71</v>
      </c>
      <c r="E22" s="11" t="n">
        <v>416</v>
      </c>
      <c r="F22" s="11" t="n">
        <v>3</v>
      </c>
      <c r="G22" s="11" t="n">
        <v>0</v>
      </c>
      <c r="H22" s="11" t="s">
        <v>84</v>
      </c>
      <c r="I22" s="11" t="s">
        <v>99</v>
      </c>
      <c r="J22" s="11" t="s">
        <v>100</v>
      </c>
      <c r="K22" s="11" t="s">
        <v>55</v>
      </c>
      <c r="L22" s="11" t="s">
        <v>101</v>
      </c>
      <c r="M22" s="11" t="s">
        <v>104</v>
      </c>
      <c r="N22" s="12" t="n">
        <v>2</v>
      </c>
      <c r="O22" s="13" t="s">
        <v>8</v>
      </c>
      <c r="P22" s="13"/>
    </row>
    <row r="23" customFormat="false" ht="15" hidden="false" customHeight="false" outlineLevel="0" collapsed="false">
      <c r="A23" s="11" t="n">
        <v>19</v>
      </c>
      <c r="B23" s="11" t="s">
        <v>109</v>
      </c>
      <c r="C23" s="11" t="s">
        <v>110</v>
      </c>
      <c r="D23" s="11" t="s">
        <v>71</v>
      </c>
      <c r="E23" s="11" t="n">
        <v>99</v>
      </c>
      <c r="F23" s="11" t="n">
        <v>1</v>
      </c>
      <c r="G23" s="11" t="n">
        <v>0</v>
      </c>
      <c r="H23" s="11" t="s">
        <v>84</v>
      </c>
      <c r="I23" s="11" t="s">
        <v>99</v>
      </c>
      <c r="J23" s="11" t="s">
        <v>100</v>
      </c>
      <c r="K23" s="11" t="s">
        <v>55</v>
      </c>
      <c r="L23" s="11" t="s">
        <v>101</v>
      </c>
      <c r="M23" s="11" t="s">
        <v>104</v>
      </c>
      <c r="N23" s="12" t="n">
        <v>1</v>
      </c>
      <c r="O23" s="13" t="s">
        <v>8</v>
      </c>
      <c r="P23" s="13"/>
    </row>
    <row r="24" customFormat="false" ht="15" hidden="false" customHeight="false" outlineLevel="0" collapsed="false">
      <c r="A24" s="11" t="n">
        <v>20</v>
      </c>
      <c r="B24" s="11" t="s">
        <v>111</v>
      </c>
      <c r="C24" s="11" t="s">
        <v>112</v>
      </c>
      <c r="D24" s="11" t="s">
        <v>71</v>
      </c>
      <c r="E24" s="11" t="n">
        <v>323</v>
      </c>
      <c r="F24" s="11" t="n">
        <v>2</v>
      </c>
      <c r="G24" s="11" t="n">
        <v>0</v>
      </c>
      <c r="H24" s="11" t="s">
        <v>84</v>
      </c>
      <c r="I24" s="11" t="s">
        <v>99</v>
      </c>
      <c r="J24" s="11" t="s">
        <v>100</v>
      </c>
      <c r="K24" s="11" t="s">
        <v>55</v>
      </c>
      <c r="L24" s="11" t="s">
        <v>101</v>
      </c>
      <c r="M24" s="11" t="s">
        <v>104</v>
      </c>
      <c r="N24" s="12" t="n">
        <v>2</v>
      </c>
      <c r="O24" s="13" t="s">
        <v>8</v>
      </c>
      <c r="P24" s="13"/>
    </row>
    <row r="25" customFormat="false" ht="15" hidden="false" customHeight="false" outlineLevel="0" collapsed="false">
      <c r="A25" s="11" t="n">
        <v>21</v>
      </c>
      <c r="B25" s="11" t="s">
        <v>113</v>
      </c>
      <c r="C25" s="11" t="s">
        <v>114</v>
      </c>
      <c r="D25" s="11" t="s">
        <v>71</v>
      </c>
      <c r="E25" s="11" t="n">
        <v>227</v>
      </c>
      <c r="F25" s="11" t="n">
        <v>1</v>
      </c>
      <c r="G25" s="11" t="n">
        <v>0</v>
      </c>
      <c r="H25" s="11" t="s">
        <v>84</v>
      </c>
      <c r="I25" s="11" t="s">
        <v>99</v>
      </c>
      <c r="J25" s="11" t="s">
        <v>100</v>
      </c>
      <c r="K25" s="11" t="s">
        <v>55</v>
      </c>
      <c r="L25" s="11" t="s">
        <v>101</v>
      </c>
      <c r="M25" s="11" t="s">
        <v>104</v>
      </c>
      <c r="N25" s="12" t="n">
        <v>1</v>
      </c>
      <c r="O25" s="13" t="s">
        <v>8</v>
      </c>
      <c r="P25" s="13"/>
    </row>
    <row r="26" customFormat="false" ht="23.85" hidden="false" customHeight="false" outlineLevel="0" collapsed="false">
      <c r="A26" s="11" t="n">
        <v>22</v>
      </c>
      <c r="B26" s="11" t="s">
        <v>115</v>
      </c>
      <c r="C26" s="11" t="s">
        <v>116</v>
      </c>
      <c r="D26" s="11" t="s">
        <v>71</v>
      </c>
      <c r="E26" s="11" t="n">
        <v>882</v>
      </c>
      <c r="F26" s="11" t="n">
        <v>12</v>
      </c>
      <c r="G26" s="11" t="n">
        <v>0</v>
      </c>
      <c r="H26" s="11" t="s">
        <v>84</v>
      </c>
      <c r="I26" s="11" t="s">
        <v>91</v>
      </c>
      <c r="J26" s="11" t="s">
        <v>92</v>
      </c>
      <c r="K26" s="11" t="s">
        <v>55</v>
      </c>
      <c r="L26" s="11" t="s">
        <v>117</v>
      </c>
      <c r="M26" s="11" t="s">
        <v>88</v>
      </c>
      <c r="N26" s="12" t="n">
        <v>1</v>
      </c>
      <c r="O26" s="13" t="s">
        <v>8</v>
      </c>
      <c r="P26" s="13"/>
    </row>
    <row r="27" customFormat="false" ht="23.85" hidden="false" customHeight="false" outlineLevel="0" collapsed="false">
      <c r="A27" s="11" t="n">
        <v>23</v>
      </c>
      <c r="B27" s="11" t="s">
        <v>118</v>
      </c>
      <c r="C27" s="11" t="s">
        <v>119</v>
      </c>
      <c r="D27" s="11" t="s">
        <v>71</v>
      </c>
      <c r="E27" s="11" t="n">
        <v>711</v>
      </c>
      <c r="F27" s="11" t="n">
        <v>1</v>
      </c>
      <c r="G27" s="11" t="n">
        <v>0</v>
      </c>
      <c r="H27" s="11" t="s">
        <v>120</v>
      </c>
      <c r="I27" s="11" t="s">
        <v>121</v>
      </c>
      <c r="J27" s="11" t="s">
        <v>122</v>
      </c>
      <c r="K27" s="11" t="s">
        <v>55</v>
      </c>
      <c r="L27" s="11" t="s">
        <v>123</v>
      </c>
      <c r="M27" s="11" t="s">
        <v>88</v>
      </c>
      <c r="N27" s="12" t="n">
        <v>1</v>
      </c>
      <c r="O27" s="13" t="s">
        <v>8</v>
      </c>
      <c r="P27" s="13"/>
    </row>
    <row r="28" customFormat="false" ht="23.85" hidden="false" customHeight="false" outlineLevel="0" collapsed="false">
      <c r="A28" s="11" t="n">
        <v>24</v>
      </c>
      <c r="B28" s="11" t="s">
        <v>124</v>
      </c>
      <c r="C28" s="11" t="s">
        <v>125</v>
      </c>
      <c r="D28" s="11" t="s">
        <v>71</v>
      </c>
      <c r="E28" s="11" t="n">
        <v>485</v>
      </c>
      <c r="F28" s="11" t="n">
        <v>5</v>
      </c>
      <c r="G28" s="11" t="n">
        <v>0</v>
      </c>
      <c r="H28" s="11" t="s">
        <v>120</v>
      </c>
      <c r="I28" s="11" t="s">
        <v>121</v>
      </c>
      <c r="J28" s="11" t="s">
        <v>122</v>
      </c>
      <c r="K28" s="11" t="s">
        <v>55</v>
      </c>
      <c r="L28" s="11" t="s">
        <v>123</v>
      </c>
      <c r="M28" s="11" t="s">
        <v>88</v>
      </c>
      <c r="N28" s="12" t="n">
        <v>1</v>
      </c>
      <c r="O28" s="13" t="s">
        <v>8</v>
      </c>
      <c r="P28" s="13"/>
    </row>
    <row r="29" customFormat="false" ht="23.85" hidden="false" customHeight="false" outlineLevel="0" collapsed="false">
      <c r="A29" s="11" t="n">
        <v>25</v>
      </c>
      <c r="B29" s="11" t="s">
        <v>126</v>
      </c>
      <c r="C29" s="11" t="s">
        <v>127</v>
      </c>
      <c r="D29" s="11" t="s">
        <v>71</v>
      </c>
      <c r="E29" s="11" t="n">
        <v>281</v>
      </c>
      <c r="F29" s="11" t="n">
        <v>1</v>
      </c>
      <c r="G29" s="11" t="n">
        <v>0</v>
      </c>
      <c r="H29" s="11" t="s">
        <v>120</v>
      </c>
      <c r="I29" s="11" t="s">
        <v>121</v>
      </c>
      <c r="J29" s="11" t="s">
        <v>122</v>
      </c>
      <c r="K29" s="11" t="s">
        <v>55</v>
      </c>
      <c r="L29" s="11" t="s">
        <v>123</v>
      </c>
      <c r="M29" s="11" t="s">
        <v>88</v>
      </c>
      <c r="N29" s="12" t="n">
        <v>1</v>
      </c>
      <c r="O29" s="13" t="s">
        <v>8</v>
      </c>
      <c r="P29" s="13"/>
    </row>
    <row r="30" customFormat="false" ht="23.85" hidden="false" customHeight="false" outlineLevel="0" collapsed="false">
      <c r="A30" s="11" t="n">
        <v>26</v>
      </c>
      <c r="B30" s="11" t="s">
        <v>128</v>
      </c>
      <c r="C30" s="11" t="s">
        <v>129</v>
      </c>
      <c r="D30" s="11" t="s">
        <v>71</v>
      </c>
      <c r="E30" s="11" t="n">
        <v>888</v>
      </c>
      <c r="F30" s="11" t="n">
        <v>16</v>
      </c>
      <c r="G30" s="11" t="n">
        <v>1</v>
      </c>
      <c r="H30" s="11" t="s">
        <v>120</v>
      </c>
      <c r="I30" s="11" t="s">
        <v>121</v>
      </c>
      <c r="J30" s="11" t="s">
        <v>122</v>
      </c>
      <c r="K30" s="11" t="s">
        <v>55</v>
      </c>
      <c r="L30" s="11" t="s">
        <v>123</v>
      </c>
      <c r="M30" s="11" t="s">
        <v>88</v>
      </c>
      <c r="N30" s="12" t="n">
        <v>1</v>
      </c>
      <c r="O30" s="13" t="s">
        <v>8</v>
      </c>
      <c r="P30" s="13"/>
    </row>
    <row r="31" customFormat="false" ht="23.85" hidden="false" customHeight="false" outlineLevel="0" collapsed="false">
      <c r="A31" s="11" t="n">
        <v>27</v>
      </c>
      <c r="B31" s="11" t="s">
        <v>130</v>
      </c>
      <c r="C31" s="11" t="s">
        <v>131</v>
      </c>
      <c r="D31" s="11" t="s">
        <v>71</v>
      </c>
      <c r="E31" s="11" t="n">
        <v>82</v>
      </c>
      <c r="F31" s="11" t="n">
        <v>1</v>
      </c>
      <c r="G31" s="11" t="n">
        <v>0</v>
      </c>
      <c r="H31" s="11" t="s">
        <v>120</v>
      </c>
      <c r="I31" s="11" t="s">
        <v>121</v>
      </c>
      <c r="J31" s="11" t="s">
        <v>122</v>
      </c>
      <c r="K31" s="11" t="s">
        <v>55</v>
      </c>
      <c r="L31" s="11" t="s">
        <v>123</v>
      </c>
      <c r="M31" s="11" t="s">
        <v>88</v>
      </c>
      <c r="N31" s="12" t="n">
        <v>1</v>
      </c>
      <c r="O31" s="13" t="s">
        <v>8</v>
      </c>
      <c r="P31" s="13"/>
    </row>
    <row r="32" customFormat="false" ht="23.85" hidden="false" customHeight="false" outlineLevel="0" collapsed="false">
      <c r="A32" s="11" t="n">
        <v>28</v>
      </c>
      <c r="B32" s="11" t="s">
        <v>132</v>
      </c>
      <c r="C32" s="11" t="s">
        <v>133</v>
      </c>
      <c r="D32" s="11" t="s">
        <v>71</v>
      </c>
      <c r="E32" s="11" t="n">
        <v>128</v>
      </c>
      <c r="F32" s="11" t="n">
        <v>1</v>
      </c>
      <c r="G32" s="11" t="n">
        <v>0</v>
      </c>
      <c r="H32" s="11" t="s">
        <v>120</v>
      </c>
      <c r="I32" s="11" t="s">
        <v>121</v>
      </c>
      <c r="J32" s="11" t="s">
        <v>122</v>
      </c>
      <c r="K32" s="11" t="s">
        <v>55</v>
      </c>
      <c r="L32" s="11" t="s">
        <v>123</v>
      </c>
      <c r="M32" s="11" t="s">
        <v>88</v>
      </c>
      <c r="N32" s="12" t="n">
        <v>1</v>
      </c>
      <c r="O32" s="13" t="s">
        <v>8</v>
      </c>
      <c r="P32" s="13"/>
    </row>
    <row r="33" customFormat="false" ht="23.85" hidden="false" customHeight="false" outlineLevel="0" collapsed="false">
      <c r="A33" s="11" t="n">
        <v>29</v>
      </c>
      <c r="B33" s="11" t="s">
        <v>134</v>
      </c>
      <c r="C33" s="11" t="s">
        <v>135</v>
      </c>
      <c r="D33" s="11" t="s">
        <v>71</v>
      </c>
      <c r="E33" s="11" t="n">
        <v>201</v>
      </c>
      <c r="F33" s="11" t="n">
        <v>1</v>
      </c>
      <c r="G33" s="11" t="n">
        <v>0</v>
      </c>
      <c r="H33" s="11" t="s">
        <v>84</v>
      </c>
      <c r="I33" s="11" t="s">
        <v>136</v>
      </c>
      <c r="J33" s="11" t="s">
        <v>137</v>
      </c>
      <c r="K33" s="11" t="s">
        <v>55</v>
      </c>
      <c r="L33" s="11" t="s">
        <v>138</v>
      </c>
      <c r="M33" s="11" t="s">
        <v>88</v>
      </c>
      <c r="N33" s="12" t="n">
        <v>1</v>
      </c>
      <c r="O33" s="13" t="s">
        <v>8</v>
      </c>
      <c r="P33" s="13"/>
    </row>
    <row r="34" customFormat="false" ht="23.85" hidden="false" customHeight="false" outlineLevel="0" collapsed="false">
      <c r="A34" s="11" t="n">
        <v>30</v>
      </c>
      <c r="B34" s="11" t="s">
        <v>139</v>
      </c>
      <c r="C34" s="11" t="s">
        <v>140</v>
      </c>
      <c r="D34" s="11" t="s">
        <v>71</v>
      </c>
      <c r="E34" s="11" t="n">
        <v>151</v>
      </c>
      <c r="F34" s="11" t="n">
        <v>1</v>
      </c>
      <c r="G34" s="11" t="n">
        <v>0</v>
      </c>
      <c r="H34" s="11" t="s">
        <v>84</v>
      </c>
      <c r="I34" s="11" t="s">
        <v>141</v>
      </c>
      <c r="J34" s="11" t="s">
        <v>142</v>
      </c>
      <c r="K34" s="11" t="s">
        <v>55</v>
      </c>
      <c r="L34" s="11" t="s">
        <v>87</v>
      </c>
      <c r="M34" s="11" t="s">
        <v>88</v>
      </c>
      <c r="N34" s="12" t="n">
        <v>1</v>
      </c>
      <c r="O34" s="13" t="s">
        <v>8</v>
      </c>
      <c r="P34" s="13"/>
    </row>
    <row r="35" customFormat="false" ht="23.85" hidden="false" customHeight="false" outlineLevel="0" collapsed="false">
      <c r="A35" s="11" t="n">
        <v>31</v>
      </c>
      <c r="B35" s="11" t="s">
        <v>143</v>
      </c>
      <c r="C35" s="11" t="s">
        <v>135</v>
      </c>
      <c r="D35" s="11" t="s">
        <v>71</v>
      </c>
      <c r="E35" s="11" t="n">
        <v>295</v>
      </c>
      <c r="F35" s="11" t="n">
        <v>1</v>
      </c>
      <c r="G35" s="11" t="n">
        <v>0</v>
      </c>
      <c r="H35" s="11" t="s">
        <v>84</v>
      </c>
      <c r="I35" s="11" t="s">
        <v>136</v>
      </c>
      <c r="J35" s="11" t="s">
        <v>137</v>
      </c>
      <c r="K35" s="11" t="s">
        <v>55</v>
      </c>
      <c r="L35" s="11" t="s">
        <v>138</v>
      </c>
      <c r="M35" s="11" t="s">
        <v>88</v>
      </c>
      <c r="N35" s="12" t="n">
        <v>1</v>
      </c>
      <c r="O35" s="13" t="s">
        <v>8</v>
      </c>
      <c r="P35" s="13"/>
    </row>
    <row r="36" customFormat="false" ht="23.85" hidden="false" customHeight="false" outlineLevel="0" collapsed="false">
      <c r="A36" s="11" t="n">
        <v>32</v>
      </c>
      <c r="B36" s="11" t="s">
        <v>144</v>
      </c>
      <c r="C36" s="11" t="s">
        <v>145</v>
      </c>
      <c r="D36" s="11" t="s">
        <v>51</v>
      </c>
      <c r="E36" s="11" t="n">
        <v>288</v>
      </c>
      <c r="F36" s="11" t="n">
        <v>1</v>
      </c>
      <c r="G36" s="11" t="n">
        <v>0</v>
      </c>
      <c r="H36" s="11" t="s">
        <v>84</v>
      </c>
      <c r="I36" s="11" t="s">
        <v>141</v>
      </c>
      <c r="J36" s="11" t="s">
        <v>142</v>
      </c>
      <c r="K36" s="11" t="s">
        <v>55</v>
      </c>
      <c r="L36" s="11" t="s">
        <v>146</v>
      </c>
      <c r="M36" s="11" t="s">
        <v>88</v>
      </c>
      <c r="N36" s="12" t="n">
        <v>1</v>
      </c>
      <c r="O36" s="13" t="s">
        <v>8</v>
      </c>
      <c r="P36" s="13"/>
    </row>
    <row r="37" customFormat="false" ht="23.85" hidden="false" customHeight="false" outlineLevel="0" collapsed="false">
      <c r="A37" s="11" t="n">
        <v>33</v>
      </c>
      <c r="B37" s="11" t="s">
        <v>147</v>
      </c>
      <c r="C37" s="11" t="s">
        <v>148</v>
      </c>
      <c r="D37" s="11" t="s">
        <v>71</v>
      </c>
      <c r="E37" s="11" t="n">
        <v>35</v>
      </c>
      <c r="F37" s="11" t="n">
        <v>1</v>
      </c>
      <c r="G37" s="11" t="n">
        <v>0</v>
      </c>
      <c r="H37" s="11" t="s">
        <v>84</v>
      </c>
      <c r="I37" s="11" t="s">
        <v>149</v>
      </c>
      <c r="J37" s="11" t="s">
        <v>150</v>
      </c>
      <c r="K37" s="11" t="s">
        <v>55</v>
      </c>
      <c r="L37" s="11" t="s">
        <v>87</v>
      </c>
      <c r="M37" s="11" t="s">
        <v>88</v>
      </c>
      <c r="N37" s="12" t="n">
        <v>1</v>
      </c>
      <c r="O37" s="13" t="s">
        <v>8</v>
      </c>
      <c r="P37" s="13"/>
    </row>
    <row r="38" customFormat="false" ht="23.85" hidden="false" customHeight="false" outlineLevel="0" collapsed="false">
      <c r="A38" s="11" t="n">
        <v>34</v>
      </c>
      <c r="B38" s="11" t="s">
        <v>151</v>
      </c>
      <c r="C38" s="11" t="s">
        <v>152</v>
      </c>
      <c r="D38" s="11" t="s">
        <v>71</v>
      </c>
      <c r="E38" s="11" t="n">
        <v>1038</v>
      </c>
      <c r="F38" s="11" t="n">
        <v>15</v>
      </c>
      <c r="G38" s="11" t="n">
        <v>0</v>
      </c>
      <c r="H38" s="11" t="s">
        <v>84</v>
      </c>
      <c r="I38" s="11" t="s">
        <v>141</v>
      </c>
      <c r="J38" s="11" t="s">
        <v>142</v>
      </c>
      <c r="K38" s="11" t="s">
        <v>55</v>
      </c>
      <c r="L38" s="11" t="s">
        <v>146</v>
      </c>
      <c r="M38" s="11" t="s">
        <v>88</v>
      </c>
      <c r="N38" s="12" t="n">
        <v>1</v>
      </c>
      <c r="O38" s="13" t="s">
        <v>8</v>
      </c>
      <c r="P38" s="13"/>
    </row>
    <row r="39" customFormat="false" ht="23.85" hidden="false" customHeight="false" outlineLevel="0" collapsed="false">
      <c r="A39" s="11" t="n">
        <v>35</v>
      </c>
      <c r="B39" s="11" t="s">
        <v>153</v>
      </c>
      <c r="C39" s="11" t="s">
        <v>154</v>
      </c>
      <c r="D39" s="11" t="s">
        <v>51</v>
      </c>
      <c r="E39" s="11" t="n">
        <v>590</v>
      </c>
      <c r="F39" s="11" t="n">
        <v>2</v>
      </c>
      <c r="G39" s="11" t="n">
        <v>0</v>
      </c>
      <c r="H39" s="11" t="s">
        <v>84</v>
      </c>
      <c r="I39" s="11" t="s">
        <v>141</v>
      </c>
      <c r="J39" s="11" t="s">
        <v>142</v>
      </c>
      <c r="K39" s="11" t="s">
        <v>55</v>
      </c>
      <c r="L39" s="11" t="s">
        <v>146</v>
      </c>
      <c r="M39" s="11" t="s">
        <v>88</v>
      </c>
      <c r="N39" s="12" t="n">
        <v>1</v>
      </c>
      <c r="O39" s="13" t="s">
        <v>8</v>
      </c>
      <c r="P39" s="13"/>
    </row>
    <row r="40" customFormat="false" ht="23.85" hidden="false" customHeight="false" outlineLevel="0" collapsed="false">
      <c r="A40" s="11" t="n">
        <v>36</v>
      </c>
      <c r="B40" s="11" t="s">
        <v>155</v>
      </c>
      <c r="C40" s="11" t="s">
        <v>156</v>
      </c>
      <c r="D40" s="11" t="s">
        <v>51</v>
      </c>
      <c r="E40" s="11" t="n">
        <v>457</v>
      </c>
      <c r="F40" s="11" t="n">
        <v>2</v>
      </c>
      <c r="G40" s="11" t="n">
        <v>0</v>
      </c>
      <c r="H40" s="11" t="s">
        <v>84</v>
      </c>
      <c r="I40" s="11" t="s">
        <v>141</v>
      </c>
      <c r="J40" s="11" t="s">
        <v>142</v>
      </c>
      <c r="K40" s="11" t="s">
        <v>55</v>
      </c>
      <c r="L40" s="11" t="s">
        <v>146</v>
      </c>
      <c r="M40" s="11" t="s">
        <v>88</v>
      </c>
      <c r="N40" s="12" t="n">
        <v>1</v>
      </c>
      <c r="O40" s="13" t="s">
        <v>8</v>
      </c>
      <c r="P40" s="13"/>
    </row>
    <row r="41" customFormat="false" ht="23.85" hidden="false" customHeight="false" outlineLevel="0" collapsed="false">
      <c r="A41" s="11" t="n">
        <v>37</v>
      </c>
      <c r="B41" s="11" t="s">
        <v>157</v>
      </c>
      <c r="C41" s="11" t="s">
        <v>158</v>
      </c>
      <c r="D41" s="11" t="s">
        <v>51</v>
      </c>
      <c r="E41" s="11" t="n">
        <v>663</v>
      </c>
      <c r="F41" s="11" t="n">
        <v>4</v>
      </c>
      <c r="G41" s="11" t="n">
        <v>0</v>
      </c>
      <c r="H41" s="11" t="s">
        <v>159</v>
      </c>
      <c r="I41" s="11" t="s">
        <v>160</v>
      </c>
      <c r="J41" s="11" t="s">
        <v>161</v>
      </c>
      <c r="K41" s="11" t="s">
        <v>55</v>
      </c>
      <c r="L41" s="11" t="s">
        <v>162</v>
      </c>
      <c r="M41" s="11" t="s">
        <v>88</v>
      </c>
      <c r="N41" s="12" t="n">
        <v>1</v>
      </c>
      <c r="O41" s="13" t="s">
        <v>8</v>
      </c>
      <c r="P41" s="13"/>
    </row>
    <row r="42" customFormat="false" ht="23.85" hidden="false" customHeight="false" outlineLevel="0" collapsed="false">
      <c r="A42" s="11" t="n">
        <v>38</v>
      </c>
      <c r="B42" s="11" t="s">
        <v>163</v>
      </c>
      <c r="C42" s="11" t="s">
        <v>164</v>
      </c>
      <c r="D42" s="11" t="s">
        <v>51</v>
      </c>
      <c r="E42" s="11" t="n">
        <v>236</v>
      </c>
      <c r="F42" s="11" t="n">
        <v>4</v>
      </c>
      <c r="G42" s="11" t="n">
        <v>0</v>
      </c>
      <c r="H42" s="11" t="s">
        <v>159</v>
      </c>
      <c r="I42" s="11" t="s">
        <v>165</v>
      </c>
      <c r="J42" s="11" t="s">
        <v>166</v>
      </c>
      <c r="K42" s="11" t="s">
        <v>55</v>
      </c>
      <c r="L42" s="11" t="s">
        <v>167</v>
      </c>
      <c r="M42" s="11" t="s">
        <v>88</v>
      </c>
      <c r="N42" s="12" t="n">
        <v>1</v>
      </c>
      <c r="O42" s="13" t="s">
        <v>8</v>
      </c>
      <c r="P42" s="13"/>
    </row>
    <row r="43" customFormat="false" ht="23.85" hidden="false" customHeight="false" outlineLevel="0" collapsed="false">
      <c r="A43" s="11" t="n">
        <v>39</v>
      </c>
      <c r="B43" s="11" t="s">
        <v>168</v>
      </c>
      <c r="C43" s="11" t="s">
        <v>169</v>
      </c>
      <c r="D43" s="11" t="s">
        <v>71</v>
      </c>
      <c r="E43" s="11" t="n">
        <v>2359</v>
      </c>
      <c r="F43" s="11" t="n">
        <v>9</v>
      </c>
      <c r="G43" s="11" t="n">
        <v>1</v>
      </c>
      <c r="H43" s="11" t="s">
        <v>84</v>
      </c>
      <c r="I43" s="11" t="s">
        <v>149</v>
      </c>
      <c r="J43" s="11" t="s">
        <v>150</v>
      </c>
      <c r="K43" s="11" t="s">
        <v>55</v>
      </c>
      <c r="L43" s="11" t="s">
        <v>117</v>
      </c>
      <c r="M43" s="11" t="s">
        <v>88</v>
      </c>
      <c r="N43" s="12" t="n">
        <v>1</v>
      </c>
      <c r="O43" s="13" t="s">
        <v>8</v>
      </c>
      <c r="P43" s="13"/>
    </row>
    <row r="44" customFormat="false" ht="23.85" hidden="false" customHeight="false" outlineLevel="0" collapsed="false">
      <c r="A44" s="11" t="n">
        <v>40</v>
      </c>
      <c r="B44" s="11" t="s">
        <v>170</v>
      </c>
      <c r="C44" s="11" t="s">
        <v>171</v>
      </c>
      <c r="D44" s="11" t="s">
        <v>51</v>
      </c>
      <c r="E44" s="11" t="n">
        <v>259</v>
      </c>
      <c r="F44" s="11" t="n">
        <v>3</v>
      </c>
      <c r="G44" s="11" t="n">
        <v>0</v>
      </c>
      <c r="H44" s="11" t="s">
        <v>84</v>
      </c>
      <c r="I44" s="11" t="s">
        <v>141</v>
      </c>
      <c r="J44" s="11" t="s">
        <v>142</v>
      </c>
      <c r="K44" s="11" t="s">
        <v>55</v>
      </c>
      <c r="L44" s="11" t="s">
        <v>146</v>
      </c>
      <c r="M44" s="11" t="s">
        <v>88</v>
      </c>
      <c r="N44" s="12" t="n">
        <v>1</v>
      </c>
      <c r="O44" s="13" t="s">
        <v>8</v>
      </c>
      <c r="P44" s="13"/>
    </row>
    <row r="45" customFormat="false" ht="23.85" hidden="false" customHeight="false" outlineLevel="0" collapsed="false">
      <c r="A45" s="11" t="n">
        <v>41</v>
      </c>
      <c r="B45" s="11" t="s">
        <v>172</v>
      </c>
      <c r="C45" s="11" t="s">
        <v>173</v>
      </c>
      <c r="D45" s="11" t="s">
        <v>71</v>
      </c>
      <c r="E45" s="11" t="n">
        <v>773</v>
      </c>
      <c r="F45" s="11" t="n">
        <v>7</v>
      </c>
      <c r="G45" s="11" t="n">
        <v>0</v>
      </c>
      <c r="H45" s="11" t="s">
        <v>84</v>
      </c>
      <c r="I45" s="11" t="s">
        <v>141</v>
      </c>
      <c r="J45" s="11" t="s">
        <v>142</v>
      </c>
      <c r="K45" s="11" t="s">
        <v>55</v>
      </c>
      <c r="L45" s="11" t="s">
        <v>146</v>
      </c>
      <c r="M45" s="11" t="s">
        <v>88</v>
      </c>
      <c r="N45" s="12" t="n">
        <v>1</v>
      </c>
      <c r="O45" s="13" t="s">
        <v>8</v>
      </c>
      <c r="P45" s="13"/>
    </row>
    <row r="46" customFormat="false" ht="15" hidden="false" customHeight="false" outlineLevel="0" collapsed="false">
      <c r="A46" s="11" t="n">
        <v>42</v>
      </c>
      <c r="B46" s="11" t="s">
        <v>174</v>
      </c>
      <c r="C46" s="11" t="s">
        <v>175</v>
      </c>
      <c r="D46" s="11" t="s">
        <v>71</v>
      </c>
      <c r="E46" s="11" t="n">
        <v>421</v>
      </c>
      <c r="F46" s="11" t="n">
        <v>3</v>
      </c>
      <c r="G46" s="11" t="n">
        <v>1</v>
      </c>
      <c r="H46" s="11" t="s">
        <v>84</v>
      </c>
      <c r="I46" s="11" t="s">
        <v>176</v>
      </c>
      <c r="J46" s="11" t="s">
        <v>177</v>
      </c>
      <c r="K46" s="11" t="s">
        <v>55</v>
      </c>
      <c r="L46" s="11" t="s">
        <v>178</v>
      </c>
      <c r="M46" s="11" t="s">
        <v>104</v>
      </c>
      <c r="N46" s="12" t="n">
        <v>2</v>
      </c>
      <c r="O46" s="13" t="s">
        <v>8</v>
      </c>
      <c r="P46" s="13"/>
    </row>
    <row r="47" customFormat="false" ht="23.85" hidden="false" customHeight="false" outlineLevel="0" collapsed="false">
      <c r="A47" s="11" t="n">
        <v>43</v>
      </c>
      <c r="B47" s="11" t="s">
        <v>179</v>
      </c>
      <c r="C47" s="11" t="s">
        <v>180</v>
      </c>
      <c r="D47" s="11" t="s">
        <v>71</v>
      </c>
      <c r="E47" s="11" t="n">
        <v>459</v>
      </c>
      <c r="F47" s="11" t="n">
        <v>5</v>
      </c>
      <c r="G47" s="11" t="n">
        <v>0</v>
      </c>
      <c r="H47" s="11" t="s">
        <v>84</v>
      </c>
      <c r="I47" s="11" t="s">
        <v>176</v>
      </c>
      <c r="J47" s="11" t="s">
        <v>177</v>
      </c>
      <c r="K47" s="11" t="s">
        <v>55</v>
      </c>
      <c r="L47" s="11" t="s">
        <v>178</v>
      </c>
      <c r="M47" s="11" t="s">
        <v>104</v>
      </c>
      <c r="N47" s="12" t="n">
        <v>2</v>
      </c>
      <c r="O47" s="13" t="s">
        <v>8</v>
      </c>
      <c r="P47" s="13"/>
    </row>
    <row r="48" customFormat="false" ht="23.85" hidden="false" customHeight="false" outlineLevel="0" collapsed="false">
      <c r="A48" s="11" t="n">
        <v>44</v>
      </c>
      <c r="B48" s="11" t="s">
        <v>181</v>
      </c>
      <c r="C48" s="11" t="s">
        <v>182</v>
      </c>
      <c r="D48" s="11" t="s">
        <v>71</v>
      </c>
      <c r="E48" s="11" t="n">
        <v>200</v>
      </c>
      <c r="F48" s="11" t="n">
        <v>3</v>
      </c>
      <c r="G48" s="11" t="n">
        <v>0</v>
      </c>
      <c r="H48" s="11" t="s">
        <v>84</v>
      </c>
      <c r="I48" s="11" t="s">
        <v>176</v>
      </c>
      <c r="J48" s="11" t="s">
        <v>177</v>
      </c>
      <c r="K48" s="11" t="s">
        <v>55</v>
      </c>
      <c r="L48" s="11" t="s">
        <v>178</v>
      </c>
      <c r="M48" s="11" t="s">
        <v>104</v>
      </c>
      <c r="N48" s="12" t="n">
        <v>2</v>
      </c>
      <c r="O48" s="13" t="s">
        <v>8</v>
      </c>
      <c r="P48" s="13"/>
    </row>
    <row r="49" customFormat="false" ht="15" hidden="false" customHeight="false" outlineLevel="0" collapsed="false">
      <c r="A49" s="11" t="n">
        <v>45</v>
      </c>
      <c r="B49" s="11" t="s">
        <v>183</v>
      </c>
      <c r="C49" s="11" t="s">
        <v>184</v>
      </c>
      <c r="D49" s="11" t="s">
        <v>71</v>
      </c>
      <c r="E49" s="11" t="n">
        <v>322</v>
      </c>
      <c r="F49" s="11" t="n">
        <v>1</v>
      </c>
      <c r="G49" s="11" t="n">
        <v>0</v>
      </c>
      <c r="H49" s="11" t="s">
        <v>84</v>
      </c>
      <c r="I49" s="11" t="s">
        <v>176</v>
      </c>
      <c r="J49" s="11" t="s">
        <v>177</v>
      </c>
      <c r="K49" s="11" t="s">
        <v>55</v>
      </c>
      <c r="L49" s="11" t="s">
        <v>178</v>
      </c>
      <c r="M49" s="11" t="s">
        <v>104</v>
      </c>
      <c r="N49" s="12" t="n">
        <v>1</v>
      </c>
      <c r="O49" s="13" t="s">
        <v>8</v>
      </c>
      <c r="P49" s="13"/>
    </row>
    <row r="50" customFormat="false" ht="23.85" hidden="false" customHeight="false" outlineLevel="0" collapsed="false">
      <c r="A50" s="11" t="n">
        <v>46</v>
      </c>
      <c r="B50" s="11" t="s">
        <v>185</v>
      </c>
      <c r="C50" s="11" t="s">
        <v>186</v>
      </c>
      <c r="D50" s="11" t="s">
        <v>71</v>
      </c>
      <c r="E50" s="11" t="n">
        <v>280</v>
      </c>
      <c r="F50" s="11" t="n">
        <v>0</v>
      </c>
      <c r="G50" s="11" t="n">
        <v>0</v>
      </c>
      <c r="H50" s="11" t="s">
        <v>84</v>
      </c>
      <c r="I50" s="11" t="s">
        <v>176</v>
      </c>
      <c r="J50" s="11" t="s">
        <v>177</v>
      </c>
      <c r="K50" s="11" t="s">
        <v>55</v>
      </c>
      <c r="L50" s="11" t="s">
        <v>178</v>
      </c>
      <c r="M50" s="11" t="s">
        <v>57</v>
      </c>
      <c r="N50" s="12" t="n">
        <v>0</v>
      </c>
      <c r="O50" s="13" t="s">
        <v>8</v>
      </c>
      <c r="P50" s="13"/>
    </row>
    <row r="51" customFormat="false" ht="23.85" hidden="false" customHeight="false" outlineLevel="0" collapsed="false">
      <c r="A51" s="11" t="n">
        <v>47</v>
      </c>
      <c r="B51" s="11" t="s">
        <v>187</v>
      </c>
      <c r="C51" s="11" t="s">
        <v>188</v>
      </c>
      <c r="D51" s="11" t="s">
        <v>71</v>
      </c>
      <c r="E51" s="11" t="n">
        <v>297</v>
      </c>
      <c r="F51" s="11" t="n">
        <v>2</v>
      </c>
      <c r="G51" s="11" t="n">
        <v>0</v>
      </c>
      <c r="H51" s="11" t="s">
        <v>84</v>
      </c>
      <c r="I51" s="11" t="s">
        <v>189</v>
      </c>
      <c r="J51" s="11" t="s">
        <v>190</v>
      </c>
      <c r="K51" s="11" t="s">
        <v>55</v>
      </c>
      <c r="L51" s="11" t="s">
        <v>87</v>
      </c>
      <c r="M51" s="11" t="s">
        <v>88</v>
      </c>
      <c r="N51" s="12" t="n">
        <v>1</v>
      </c>
      <c r="O51" s="13" t="s">
        <v>8</v>
      </c>
      <c r="P51" s="13"/>
    </row>
    <row r="52" customFormat="false" ht="23.85" hidden="false" customHeight="false" outlineLevel="0" collapsed="false">
      <c r="A52" s="11" t="n">
        <v>48</v>
      </c>
      <c r="B52" s="11" t="s">
        <v>191</v>
      </c>
      <c r="C52" s="11" t="s">
        <v>192</v>
      </c>
      <c r="D52" s="11" t="s">
        <v>71</v>
      </c>
      <c r="E52" s="11" t="n">
        <v>116</v>
      </c>
      <c r="F52" s="11" t="n">
        <v>1</v>
      </c>
      <c r="G52" s="11" t="n">
        <v>0</v>
      </c>
      <c r="H52" s="11" t="s">
        <v>84</v>
      </c>
      <c r="I52" s="11" t="s">
        <v>193</v>
      </c>
      <c r="J52" s="11" t="s">
        <v>194</v>
      </c>
      <c r="K52" s="11" t="s">
        <v>55</v>
      </c>
      <c r="L52" s="11" t="s">
        <v>87</v>
      </c>
      <c r="M52" s="11" t="s">
        <v>88</v>
      </c>
      <c r="N52" s="12" t="n">
        <v>1</v>
      </c>
      <c r="O52" s="13" t="s">
        <v>8</v>
      </c>
      <c r="P52" s="13"/>
    </row>
    <row r="53" customFormat="false" ht="23.85" hidden="false" customHeight="false" outlineLevel="0" collapsed="false">
      <c r="A53" s="11" t="n">
        <v>49</v>
      </c>
      <c r="B53" s="11" t="s">
        <v>195</v>
      </c>
      <c r="C53" s="11" t="s">
        <v>196</v>
      </c>
      <c r="D53" s="11" t="s">
        <v>71</v>
      </c>
      <c r="E53" s="11" t="n">
        <v>207</v>
      </c>
      <c r="F53" s="11" t="n">
        <v>2</v>
      </c>
      <c r="G53" s="11" t="n">
        <v>0</v>
      </c>
      <c r="H53" s="11" t="s">
        <v>84</v>
      </c>
      <c r="I53" s="11" t="s">
        <v>189</v>
      </c>
      <c r="J53" s="11" t="s">
        <v>190</v>
      </c>
      <c r="K53" s="11" t="s">
        <v>55</v>
      </c>
      <c r="L53" s="11" t="s">
        <v>87</v>
      </c>
      <c r="M53" s="11" t="s">
        <v>88</v>
      </c>
      <c r="N53" s="12" t="n">
        <v>1</v>
      </c>
      <c r="O53" s="13" t="s">
        <v>8</v>
      </c>
      <c r="P53" s="13"/>
    </row>
    <row r="54" customFormat="false" ht="23.85" hidden="false" customHeight="false" outlineLevel="0" collapsed="false">
      <c r="A54" s="11" t="n">
        <v>50</v>
      </c>
      <c r="B54" s="11" t="s">
        <v>197</v>
      </c>
      <c r="C54" s="11" t="s">
        <v>188</v>
      </c>
      <c r="D54" s="11" t="s">
        <v>71</v>
      </c>
      <c r="E54" s="11" t="n">
        <v>419</v>
      </c>
      <c r="F54" s="11" t="n">
        <v>5</v>
      </c>
      <c r="G54" s="11" t="n">
        <v>2</v>
      </c>
      <c r="H54" s="11" t="s">
        <v>84</v>
      </c>
      <c r="I54" s="11" t="s">
        <v>189</v>
      </c>
      <c r="J54" s="11" t="s">
        <v>190</v>
      </c>
      <c r="K54" s="11" t="s">
        <v>55</v>
      </c>
      <c r="L54" s="11" t="s">
        <v>87</v>
      </c>
      <c r="M54" s="11" t="s">
        <v>88</v>
      </c>
      <c r="N54" s="12" t="n">
        <v>1</v>
      </c>
      <c r="O54" s="13" t="s">
        <v>8</v>
      </c>
      <c r="P54" s="13"/>
    </row>
    <row r="55" customFormat="false" ht="15" hidden="false" customHeight="false" outlineLevel="0" collapsed="false">
      <c r="A55" s="11" t="n">
        <v>51</v>
      </c>
      <c r="B55" s="11" t="s">
        <v>198</v>
      </c>
      <c r="C55" s="11" t="s">
        <v>199</v>
      </c>
      <c r="D55" s="11" t="s">
        <v>71</v>
      </c>
      <c r="E55" s="11" t="n">
        <v>765</v>
      </c>
      <c r="F55" s="11" t="n">
        <v>10</v>
      </c>
      <c r="G55" s="11" t="n">
        <v>0</v>
      </c>
      <c r="H55" s="11" t="s">
        <v>84</v>
      </c>
      <c r="I55" s="11" t="s">
        <v>200</v>
      </c>
      <c r="J55" s="11" t="s">
        <v>201</v>
      </c>
      <c r="K55" s="11" t="s">
        <v>55</v>
      </c>
      <c r="L55" s="11" t="s">
        <v>202</v>
      </c>
      <c r="M55" s="11" t="s">
        <v>104</v>
      </c>
      <c r="N55" s="12" t="n">
        <v>2</v>
      </c>
      <c r="O55" s="13" t="s">
        <v>8</v>
      </c>
      <c r="P55" s="13"/>
    </row>
    <row r="56" customFormat="false" ht="23.85" hidden="false" customHeight="false" outlineLevel="0" collapsed="false">
      <c r="A56" s="11" t="n">
        <v>52</v>
      </c>
      <c r="B56" s="11" t="s">
        <v>203</v>
      </c>
      <c r="C56" s="11" t="s">
        <v>204</v>
      </c>
      <c r="D56" s="11" t="s">
        <v>71</v>
      </c>
      <c r="E56" s="11" t="n">
        <v>897</v>
      </c>
      <c r="F56" s="11" t="n">
        <v>2</v>
      </c>
      <c r="G56" s="11" t="n">
        <v>0</v>
      </c>
      <c r="H56" s="11" t="s">
        <v>84</v>
      </c>
      <c r="I56" s="11" t="s">
        <v>193</v>
      </c>
      <c r="J56" s="11" t="s">
        <v>194</v>
      </c>
      <c r="K56" s="11" t="s">
        <v>55</v>
      </c>
      <c r="L56" s="11" t="s">
        <v>117</v>
      </c>
      <c r="M56" s="11" t="s">
        <v>88</v>
      </c>
      <c r="N56" s="12" t="n">
        <v>1</v>
      </c>
      <c r="O56" s="13" t="s">
        <v>8</v>
      </c>
      <c r="P56" s="13"/>
    </row>
    <row r="57" customFormat="false" ht="23.85" hidden="false" customHeight="false" outlineLevel="0" collapsed="false">
      <c r="A57" s="11" t="n">
        <v>53</v>
      </c>
      <c r="B57" s="11" t="s">
        <v>205</v>
      </c>
      <c r="C57" s="11" t="s">
        <v>206</v>
      </c>
      <c r="D57" s="11" t="s">
        <v>71</v>
      </c>
      <c r="E57" s="11" t="n">
        <v>480</v>
      </c>
      <c r="F57" s="11" t="n">
        <v>3</v>
      </c>
      <c r="G57" s="11" t="n">
        <v>0</v>
      </c>
      <c r="H57" s="11" t="s">
        <v>207</v>
      </c>
      <c r="I57" s="11" t="s">
        <v>208</v>
      </c>
      <c r="J57" s="11" t="s">
        <v>209</v>
      </c>
      <c r="K57" s="11" t="s">
        <v>210</v>
      </c>
      <c r="L57" s="11" t="s">
        <v>87</v>
      </c>
      <c r="M57" s="11" t="s">
        <v>88</v>
      </c>
      <c r="N57" s="12" t="n">
        <v>1</v>
      </c>
      <c r="O57" s="13" t="s">
        <v>8</v>
      </c>
      <c r="P57" s="13"/>
    </row>
    <row r="58" customFormat="false" ht="23.85" hidden="false" customHeight="false" outlineLevel="0" collapsed="false">
      <c r="A58" s="11" t="n">
        <v>54</v>
      </c>
      <c r="B58" s="11" t="s">
        <v>211</v>
      </c>
      <c r="C58" s="11" t="s">
        <v>212</v>
      </c>
      <c r="D58" s="11" t="s">
        <v>71</v>
      </c>
      <c r="E58" s="11" t="n">
        <v>187</v>
      </c>
      <c r="F58" s="11" t="n">
        <v>1</v>
      </c>
      <c r="G58" s="11" t="n">
        <v>0</v>
      </c>
      <c r="H58" s="11" t="s">
        <v>207</v>
      </c>
      <c r="I58" s="11" t="s">
        <v>208</v>
      </c>
      <c r="J58" s="11" t="s">
        <v>209</v>
      </c>
      <c r="K58" s="11" t="s">
        <v>210</v>
      </c>
      <c r="L58" s="11" t="s">
        <v>87</v>
      </c>
      <c r="M58" s="11" t="s">
        <v>88</v>
      </c>
      <c r="N58" s="12" t="n">
        <v>1</v>
      </c>
      <c r="O58" s="13" t="s">
        <v>8</v>
      </c>
      <c r="P58" s="13"/>
    </row>
    <row r="59" customFormat="false" ht="23.85" hidden="false" customHeight="false" outlineLevel="0" collapsed="false">
      <c r="A59" s="11" t="n">
        <v>55</v>
      </c>
      <c r="B59" s="11" t="s">
        <v>213</v>
      </c>
      <c r="C59" s="11" t="s">
        <v>214</v>
      </c>
      <c r="D59" s="11" t="s">
        <v>71</v>
      </c>
      <c r="E59" s="11" t="n">
        <v>540</v>
      </c>
      <c r="F59" s="11" t="n">
        <v>8</v>
      </c>
      <c r="G59" s="11" t="n">
        <v>2</v>
      </c>
      <c r="H59" s="11" t="s">
        <v>215</v>
      </c>
      <c r="I59" s="11" t="s">
        <v>216</v>
      </c>
      <c r="J59" s="11" t="s">
        <v>77</v>
      </c>
      <c r="K59" s="11" t="s">
        <v>77</v>
      </c>
      <c r="L59" s="11" t="s">
        <v>87</v>
      </c>
      <c r="M59" s="11" t="s">
        <v>217</v>
      </c>
      <c r="N59" s="12" t="n">
        <v>1</v>
      </c>
      <c r="O59" s="13" t="s">
        <v>8</v>
      </c>
      <c r="P59" s="13"/>
    </row>
    <row r="60" customFormat="false" ht="23.85" hidden="false" customHeight="false" outlineLevel="0" collapsed="false">
      <c r="A60" s="11" t="n">
        <v>56</v>
      </c>
      <c r="B60" s="11" t="s">
        <v>218</v>
      </c>
      <c r="C60" s="11" t="s">
        <v>219</v>
      </c>
      <c r="D60" s="11" t="s">
        <v>71</v>
      </c>
      <c r="E60" s="11" t="n">
        <v>431</v>
      </c>
      <c r="F60" s="11" t="n">
        <v>1</v>
      </c>
      <c r="G60" s="11" t="n">
        <v>1</v>
      </c>
      <c r="H60" s="11" t="s">
        <v>215</v>
      </c>
      <c r="I60" s="11" t="s">
        <v>216</v>
      </c>
      <c r="J60" s="11" t="s">
        <v>77</v>
      </c>
      <c r="K60" s="11" t="s">
        <v>77</v>
      </c>
      <c r="L60" s="11" t="s">
        <v>87</v>
      </c>
      <c r="M60" s="11" t="s">
        <v>217</v>
      </c>
      <c r="N60" s="12" t="n">
        <v>1</v>
      </c>
      <c r="O60" s="13" t="s">
        <v>8</v>
      </c>
      <c r="P60" s="13"/>
    </row>
    <row r="61" customFormat="false" ht="23.85" hidden="false" customHeight="false" outlineLevel="0" collapsed="false">
      <c r="A61" s="11" t="n">
        <v>57</v>
      </c>
      <c r="B61" s="11" t="s">
        <v>220</v>
      </c>
      <c r="C61" s="11" t="s">
        <v>221</v>
      </c>
      <c r="D61" s="11" t="s">
        <v>71</v>
      </c>
      <c r="E61" s="11" t="n">
        <v>84</v>
      </c>
      <c r="F61" s="11" t="n">
        <v>1</v>
      </c>
      <c r="G61" s="11" t="n">
        <v>0</v>
      </c>
      <c r="H61" s="11" t="s">
        <v>215</v>
      </c>
      <c r="I61" s="11" t="s">
        <v>222</v>
      </c>
      <c r="J61" s="11" t="s">
        <v>223</v>
      </c>
      <c r="K61" s="11" t="s">
        <v>55</v>
      </c>
      <c r="L61" s="11" t="s">
        <v>224</v>
      </c>
      <c r="M61" s="11" t="s">
        <v>217</v>
      </c>
      <c r="N61" s="12" t="n">
        <v>1</v>
      </c>
      <c r="O61" s="13" t="s">
        <v>8</v>
      </c>
      <c r="P61" s="13"/>
    </row>
    <row r="62" customFormat="false" ht="23.85" hidden="false" customHeight="false" outlineLevel="0" collapsed="false">
      <c r="A62" s="11" t="n">
        <v>58</v>
      </c>
      <c r="B62" s="11" t="s">
        <v>225</v>
      </c>
      <c r="C62" s="11" t="s">
        <v>226</v>
      </c>
      <c r="D62" s="11" t="s">
        <v>71</v>
      </c>
      <c r="E62" s="11" t="n">
        <v>725</v>
      </c>
      <c r="F62" s="11" t="n">
        <v>5</v>
      </c>
      <c r="G62" s="11" t="n">
        <v>1</v>
      </c>
      <c r="H62" s="11" t="s">
        <v>215</v>
      </c>
      <c r="I62" s="11" t="s">
        <v>227</v>
      </c>
      <c r="J62" s="11" t="s">
        <v>228</v>
      </c>
      <c r="K62" s="11" t="s">
        <v>228</v>
      </c>
      <c r="L62" s="11" t="s">
        <v>87</v>
      </c>
      <c r="M62" s="11" t="s">
        <v>217</v>
      </c>
      <c r="N62" s="12" t="n">
        <v>1</v>
      </c>
      <c r="O62" s="13" t="s">
        <v>8</v>
      </c>
      <c r="P62" s="13"/>
    </row>
    <row r="63" customFormat="false" ht="23.85" hidden="false" customHeight="false" outlineLevel="0" collapsed="false">
      <c r="A63" s="11" t="n">
        <v>59</v>
      </c>
      <c r="B63" s="11" t="s">
        <v>229</v>
      </c>
      <c r="C63" s="11" t="s">
        <v>226</v>
      </c>
      <c r="D63" s="11" t="s">
        <v>71</v>
      </c>
      <c r="E63" s="11" t="n">
        <v>61</v>
      </c>
      <c r="F63" s="11" t="n">
        <v>1</v>
      </c>
      <c r="G63" s="11" t="n">
        <v>0</v>
      </c>
      <c r="H63" s="11" t="s">
        <v>215</v>
      </c>
      <c r="I63" s="11" t="s">
        <v>227</v>
      </c>
      <c r="J63" s="11" t="s">
        <v>228</v>
      </c>
      <c r="K63" s="11" t="s">
        <v>228</v>
      </c>
      <c r="L63" s="11" t="s">
        <v>87</v>
      </c>
      <c r="M63" s="11" t="s">
        <v>217</v>
      </c>
      <c r="N63" s="12" t="n">
        <v>1</v>
      </c>
      <c r="O63" s="13" t="s">
        <v>8</v>
      </c>
      <c r="P63" s="13"/>
    </row>
    <row r="64" customFormat="false" ht="23.85" hidden="false" customHeight="false" outlineLevel="0" collapsed="false">
      <c r="A64" s="11" t="n">
        <v>60</v>
      </c>
      <c r="B64" s="11" t="s">
        <v>230</v>
      </c>
      <c r="C64" s="11" t="s">
        <v>231</v>
      </c>
      <c r="D64" s="11" t="s">
        <v>71</v>
      </c>
      <c r="E64" s="11" t="n">
        <v>265</v>
      </c>
      <c r="F64" s="11" t="n">
        <v>2</v>
      </c>
      <c r="G64" s="11" t="n">
        <v>0</v>
      </c>
      <c r="H64" s="11" t="s">
        <v>207</v>
      </c>
      <c r="I64" s="11" t="s">
        <v>232</v>
      </c>
      <c r="J64" s="11" t="s">
        <v>233</v>
      </c>
      <c r="K64" s="11" t="s">
        <v>55</v>
      </c>
      <c r="L64" s="11" t="s">
        <v>87</v>
      </c>
      <c r="M64" s="11" t="s">
        <v>88</v>
      </c>
      <c r="N64" s="12" t="n">
        <v>1</v>
      </c>
      <c r="O64" s="13" t="s">
        <v>8</v>
      </c>
      <c r="P64" s="13"/>
    </row>
    <row r="65" customFormat="false" ht="23.85" hidden="false" customHeight="false" outlineLevel="0" collapsed="false">
      <c r="A65" s="11" t="n">
        <v>61</v>
      </c>
      <c r="B65" s="11" t="s">
        <v>234</v>
      </c>
      <c r="C65" s="11" t="s">
        <v>235</v>
      </c>
      <c r="D65" s="11" t="s">
        <v>71</v>
      </c>
      <c r="E65" s="11" t="n">
        <v>373</v>
      </c>
      <c r="F65" s="11" t="n">
        <v>2</v>
      </c>
      <c r="G65" s="11" t="n">
        <v>0</v>
      </c>
      <c r="H65" s="11" t="s">
        <v>236</v>
      </c>
      <c r="I65" s="11" t="s">
        <v>237</v>
      </c>
      <c r="J65" s="11" t="s">
        <v>238</v>
      </c>
      <c r="K65" s="11" t="s">
        <v>55</v>
      </c>
      <c r="L65" s="11" t="s">
        <v>239</v>
      </c>
      <c r="M65" s="11" t="s">
        <v>88</v>
      </c>
      <c r="N65" s="12" t="n">
        <v>1</v>
      </c>
      <c r="O65" s="13" t="s">
        <v>8</v>
      </c>
      <c r="P65" s="13"/>
    </row>
    <row r="66" customFormat="false" ht="23.85" hidden="false" customHeight="false" outlineLevel="0" collapsed="false">
      <c r="A66" s="11" t="n">
        <v>62</v>
      </c>
      <c r="B66" s="11" t="s">
        <v>240</v>
      </c>
      <c r="C66" s="11" t="s">
        <v>241</v>
      </c>
      <c r="D66" s="11" t="s">
        <v>51</v>
      </c>
      <c r="E66" s="11" t="n">
        <v>88</v>
      </c>
      <c r="F66" s="11" t="n">
        <v>3</v>
      </c>
      <c r="G66" s="11" t="n">
        <v>0</v>
      </c>
      <c r="H66" s="11" t="s">
        <v>242</v>
      </c>
      <c r="I66" s="11" t="s">
        <v>243</v>
      </c>
      <c r="J66" s="11" t="s">
        <v>244</v>
      </c>
      <c r="K66" s="11" t="s">
        <v>210</v>
      </c>
      <c r="L66" s="11" t="s">
        <v>245</v>
      </c>
      <c r="M66" s="11" t="s">
        <v>88</v>
      </c>
      <c r="N66" s="12" t="n">
        <v>1</v>
      </c>
      <c r="O66" s="13" t="s">
        <v>8</v>
      </c>
      <c r="P66" s="13"/>
    </row>
    <row r="67" customFormat="false" ht="23.85" hidden="false" customHeight="false" outlineLevel="0" collapsed="false">
      <c r="A67" s="11" t="n">
        <v>63</v>
      </c>
      <c r="B67" s="11" t="s">
        <v>246</v>
      </c>
      <c r="C67" s="11" t="s">
        <v>247</v>
      </c>
      <c r="D67" s="11" t="s">
        <v>51</v>
      </c>
      <c r="E67" s="11" t="n">
        <v>25</v>
      </c>
      <c r="F67" s="11" t="n">
        <v>1</v>
      </c>
      <c r="G67" s="11" t="n">
        <v>0</v>
      </c>
      <c r="H67" s="11" t="s">
        <v>242</v>
      </c>
      <c r="I67" s="11" t="s">
        <v>248</v>
      </c>
      <c r="J67" s="11" t="s">
        <v>249</v>
      </c>
      <c r="K67" s="11" t="s">
        <v>210</v>
      </c>
      <c r="L67" s="11" t="s">
        <v>87</v>
      </c>
      <c r="M67" s="11" t="s">
        <v>88</v>
      </c>
      <c r="N67" s="12" t="n">
        <v>1</v>
      </c>
      <c r="O67" s="13" t="s">
        <v>8</v>
      </c>
      <c r="P67" s="13"/>
    </row>
    <row r="68" customFormat="false" ht="23.85" hidden="false" customHeight="false" outlineLevel="0" collapsed="false">
      <c r="A68" s="11" t="n">
        <v>64</v>
      </c>
      <c r="B68" s="11" t="s">
        <v>250</v>
      </c>
      <c r="C68" s="11" t="s">
        <v>251</v>
      </c>
      <c r="D68" s="11" t="s">
        <v>51</v>
      </c>
      <c r="E68" s="11" t="n">
        <v>153</v>
      </c>
      <c r="F68" s="11" t="n">
        <v>2</v>
      </c>
      <c r="G68" s="11" t="n">
        <v>0</v>
      </c>
      <c r="H68" s="11" t="s">
        <v>242</v>
      </c>
      <c r="I68" s="11" t="s">
        <v>252</v>
      </c>
      <c r="J68" s="11" t="s">
        <v>253</v>
      </c>
      <c r="K68" s="11" t="s">
        <v>210</v>
      </c>
      <c r="L68" s="11" t="s">
        <v>254</v>
      </c>
      <c r="M68" s="11" t="s">
        <v>88</v>
      </c>
      <c r="N68" s="12" t="n">
        <v>1</v>
      </c>
      <c r="O68" s="13" t="s">
        <v>8</v>
      </c>
      <c r="P68" s="13"/>
    </row>
    <row r="69" customFormat="false" ht="23.85" hidden="false" customHeight="false" outlineLevel="0" collapsed="false">
      <c r="A69" s="11" t="n">
        <v>65</v>
      </c>
      <c r="B69" s="11" t="s">
        <v>255</v>
      </c>
      <c r="C69" s="11" t="s">
        <v>256</v>
      </c>
      <c r="D69" s="11" t="s">
        <v>71</v>
      </c>
      <c r="E69" s="11" t="n">
        <v>101</v>
      </c>
      <c r="F69" s="11" t="n">
        <v>1</v>
      </c>
      <c r="G69" s="11" t="n">
        <v>0</v>
      </c>
      <c r="H69" s="11" t="s">
        <v>242</v>
      </c>
      <c r="I69" s="11" t="s">
        <v>257</v>
      </c>
      <c r="J69" s="11" t="s">
        <v>258</v>
      </c>
      <c r="K69" s="11" t="s">
        <v>210</v>
      </c>
      <c r="L69" s="11" t="s">
        <v>259</v>
      </c>
      <c r="M69" s="11" t="s">
        <v>88</v>
      </c>
      <c r="N69" s="12" t="n">
        <v>1</v>
      </c>
      <c r="O69" s="13" t="s">
        <v>8</v>
      </c>
      <c r="P69" s="13"/>
    </row>
    <row r="70" customFormat="false" ht="23.85" hidden="false" customHeight="false" outlineLevel="0" collapsed="false">
      <c r="A70" s="11" t="n">
        <v>66</v>
      </c>
      <c r="B70" s="11" t="s">
        <v>260</v>
      </c>
      <c r="C70" s="11" t="s">
        <v>261</v>
      </c>
      <c r="D70" s="11" t="s">
        <v>51</v>
      </c>
      <c r="E70" s="11" t="n">
        <v>82</v>
      </c>
      <c r="F70" s="11" t="n">
        <v>3</v>
      </c>
      <c r="G70" s="11" t="n">
        <v>0</v>
      </c>
      <c r="H70" s="11" t="s">
        <v>262</v>
      </c>
      <c r="I70" s="11" t="s">
        <v>263</v>
      </c>
      <c r="J70" s="11" t="s">
        <v>264</v>
      </c>
      <c r="K70" s="11" t="s">
        <v>55</v>
      </c>
      <c r="L70" s="11" t="s">
        <v>87</v>
      </c>
      <c r="M70" s="11" t="s">
        <v>88</v>
      </c>
      <c r="N70" s="12" t="n">
        <v>1</v>
      </c>
      <c r="O70" s="13" t="s">
        <v>8</v>
      </c>
      <c r="P70" s="13"/>
    </row>
    <row r="71" customFormat="false" ht="23.85" hidden="false" customHeight="false" outlineLevel="0" collapsed="false">
      <c r="A71" s="11" t="n">
        <v>67</v>
      </c>
      <c r="B71" s="11" t="s">
        <v>265</v>
      </c>
      <c r="C71" s="11" t="s">
        <v>266</v>
      </c>
      <c r="D71" s="11" t="s">
        <v>71</v>
      </c>
      <c r="E71" s="11" t="n">
        <v>497</v>
      </c>
      <c r="F71" s="11" t="n">
        <v>17</v>
      </c>
      <c r="G71" s="11" t="n">
        <v>0</v>
      </c>
      <c r="H71" s="11" t="s">
        <v>242</v>
      </c>
      <c r="I71" s="11" t="s">
        <v>257</v>
      </c>
      <c r="J71" s="11" t="s">
        <v>258</v>
      </c>
      <c r="K71" s="11" t="s">
        <v>210</v>
      </c>
      <c r="L71" s="11" t="s">
        <v>259</v>
      </c>
      <c r="M71" s="11" t="s">
        <v>88</v>
      </c>
      <c r="N71" s="12" t="n">
        <v>1</v>
      </c>
      <c r="O71" s="13" t="s">
        <v>8</v>
      </c>
      <c r="P71" s="13"/>
    </row>
    <row r="72" customFormat="false" ht="23.85" hidden="false" customHeight="false" outlineLevel="0" collapsed="false">
      <c r="A72" s="11" t="n">
        <v>68</v>
      </c>
      <c r="B72" s="11" t="s">
        <v>267</v>
      </c>
      <c r="C72" s="11" t="s">
        <v>268</v>
      </c>
      <c r="D72" s="11" t="s">
        <v>71</v>
      </c>
      <c r="E72" s="11" t="n">
        <v>296</v>
      </c>
      <c r="F72" s="11" t="n">
        <v>2</v>
      </c>
      <c r="G72" s="11" t="n">
        <v>0</v>
      </c>
      <c r="H72" s="11" t="s">
        <v>207</v>
      </c>
      <c r="I72" s="11" t="s">
        <v>269</v>
      </c>
      <c r="J72" s="11" t="s">
        <v>270</v>
      </c>
      <c r="K72" s="11" t="s">
        <v>210</v>
      </c>
      <c r="L72" s="11" t="s">
        <v>87</v>
      </c>
      <c r="M72" s="11" t="s">
        <v>88</v>
      </c>
      <c r="N72" s="12" t="n">
        <v>1</v>
      </c>
      <c r="O72" s="13" t="s">
        <v>8</v>
      </c>
      <c r="P72" s="13"/>
    </row>
    <row r="73" customFormat="false" ht="15" hidden="false" customHeight="false" outlineLevel="0" collapsed="false">
      <c r="A73" s="11" t="n">
        <v>69</v>
      </c>
      <c r="B73" s="11" t="s">
        <v>271</v>
      </c>
      <c r="C73" s="11" t="s">
        <v>272</v>
      </c>
      <c r="D73" s="11" t="s">
        <v>51</v>
      </c>
      <c r="E73" s="11" t="n">
        <v>67</v>
      </c>
      <c r="F73" s="11" t="n">
        <v>0</v>
      </c>
      <c r="G73" s="11" t="n">
        <v>0</v>
      </c>
      <c r="H73" s="11" t="s">
        <v>207</v>
      </c>
      <c r="I73" s="11" t="s">
        <v>269</v>
      </c>
      <c r="J73" s="11" t="s">
        <v>270</v>
      </c>
      <c r="K73" s="11" t="s">
        <v>210</v>
      </c>
      <c r="L73" s="11" t="s">
        <v>87</v>
      </c>
      <c r="M73" s="11" t="s">
        <v>57</v>
      </c>
      <c r="N73" s="12" t="n">
        <v>0</v>
      </c>
      <c r="O73" s="13" t="s">
        <v>8</v>
      </c>
      <c r="P73" s="13"/>
    </row>
    <row r="74" customFormat="false" ht="23.85" hidden="false" customHeight="false" outlineLevel="0" collapsed="false">
      <c r="A74" s="11" t="n">
        <v>70</v>
      </c>
      <c r="B74" s="11" t="s">
        <v>273</v>
      </c>
      <c r="C74" s="11" t="s">
        <v>274</v>
      </c>
      <c r="D74" s="11" t="s">
        <v>51</v>
      </c>
      <c r="E74" s="11" t="n">
        <v>49</v>
      </c>
      <c r="F74" s="11" t="n">
        <v>1</v>
      </c>
      <c r="G74" s="11" t="n">
        <v>0</v>
      </c>
      <c r="H74" s="11" t="s">
        <v>207</v>
      </c>
      <c r="I74" s="11" t="s">
        <v>275</v>
      </c>
      <c r="J74" s="11" t="s">
        <v>276</v>
      </c>
      <c r="K74" s="11" t="s">
        <v>55</v>
      </c>
      <c r="L74" s="11" t="s">
        <v>277</v>
      </c>
      <c r="M74" s="11" t="s">
        <v>88</v>
      </c>
      <c r="N74" s="12" t="n">
        <v>1</v>
      </c>
      <c r="O74" s="13" t="s">
        <v>8</v>
      </c>
      <c r="P74" s="13"/>
    </row>
    <row r="75" customFormat="false" ht="23.85" hidden="false" customHeight="false" outlineLevel="0" collapsed="false">
      <c r="A75" s="11" t="n">
        <v>71</v>
      </c>
      <c r="B75" s="11" t="s">
        <v>278</v>
      </c>
      <c r="C75" s="11" t="s">
        <v>279</v>
      </c>
      <c r="D75" s="11" t="s">
        <v>51</v>
      </c>
      <c r="E75" s="11" t="n">
        <v>114</v>
      </c>
      <c r="F75" s="11" t="n">
        <v>1</v>
      </c>
      <c r="G75" s="11" t="n">
        <v>0</v>
      </c>
      <c r="H75" s="11" t="s">
        <v>207</v>
      </c>
      <c r="I75" s="11" t="s">
        <v>269</v>
      </c>
      <c r="J75" s="11" t="s">
        <v>270</v>
      </c>
      <c r="K75" s="11" t="s">
        <v>210</v>
      </c>
      <c r="L75" s="11" t="s">
        <v>87</v>
      </c>
      <c r="M75" s="11" t="s">
        <v>88</v>
      </c>
      <c r="N75" s="12" t="n">
        <v>1</v>
      </c>
      <c r="O75" s="13" t="s">
        <v>8</v>
      </c>
      <c r="P75" s="13"/>
    </row>
    <row r="76" customFormat="false" ht="23.85" hidden="false" customHeight="false" outlineLevel="0" collapsed="false">
      <c r="A76" s="11" t="n">
        <v>72</v>
      </c>
      <c r="B76" s="11" t="s">
        <v>280</v>
      </c>
      <c r="C76" s="11" t="s">
        <v>281</v>
      </c>
      <c r="D76" s="11" t="s">
        <v>71</v>
      </c>
      <c r="E76" s="11" t="n">
        <v>1184</v>
      </c>
      <c r="F76" s="11" t="n">
        <v>0</v>
      </c>
      <c r="G76" s="11" t="n">
        <v>0</v>
      </c>
      <c r="H76" s="11" t="s">
        <v>207</v>
      </c>
      <c r="I76" s="11" t="s">
        <v>269</v>
      </c>
      <c r="J76" s="11" t="s">
        <v>270</v>
      </c>
      <c r="K76" s="11" t="s">
        <v>210</v>
      </c>
      <c r="L76" s="11" t="s">
        <v>87</v>
      </c>
      <c r="M76" s="11" t="s">
        <v>57</v>
      </c>
      <c r="N76" s="12" t="n">
        <v>0</v>
      </c>
      <c r="O76" s="13" t="s">
        <v>8</v>
      </c>
      <c r="P76" s="13"/>
    </row>
    <row r="77" customFormat="false" ht="23.85" hidden="false" customHeight="false" outlineLevel="0" collapsed="false">
      <c r="A77" s="11" t="n">
        <v>73</v>
      </c>
      <c r="B77" s="11" t="s">
        <v>282</v>
      </c>
      <c r="C77" s="11" t="s">
        <v>283</v>
      </c>
      <c r="D77" s="11" t="s">
        <v>71</v>
      </c>
      <c r="E77" s="11" t="n">
        <v>299</v>
      </c>
      <c r="F77" s="11" t="n">
        <v>0</v>
      </c>
      <c r="G77" s="11" t="n">
        <v>0</v>
      </c>
      <c r="H77" s="11" t="s">
        <v>284</v>
      </c>
      <c r="I77" s="11" t="s">
        <v>285</v>
      </c>
      <c r="J77" s="11" t="s">
        <v>286</v>
      </c>
      <c r="K77" s="11" t="s">
        <v>55</v>
      </c>
      <c r="L77" s="11" t="s">
        <v>287</v>
      </c>
      <c r="M77" s="11" t="s">
        <v>57</v>
      </c>
      <c r="N77" s="12" t="n">
        <v>0</v>
      </c>
      <c r="O77" s="13" t="s">
        <v>8</v>
      </c>
      <c r="P77" s="13"/>
    </row>
    <row r="78" customFormat="false" ht="23.85" hidden="false" customHeight="false" outlineLevel="0" collapsed="false">
      <c r="A78" s="11" t="n">
        <v>74</v>
      </c>
      <c r="B78" s="11" t="s">
        <v>288</v>
      </c>
      <c r="C78" s="11" t="s">
        <v>289</v>
      </c>
      <c r="D78" s="11" t="s">
        <v>71</v>
      </c>
      <c r="E78" s="11" t="n">
        <v>421</v>
      </c>
      <c r="F78" s="11" t="n">
        <v>1</v>
      </c>
      <c r="G78" s="11" t="n">
        <v>0</v>
      </c>
      <c r="H78" s="11" t="s">
        <v>284</v>
      </c>
      <c r="I78" s="11" t="s">
        <v>285</v>
      </c>
      <c r="J78" s="11" t="s">
        <v>286</v>
      </c>
      <c r="K78" s="11" t="s">
        <v>55</v>
      </c>
      <c r="L78" s="11" t="s">
        <v>287</v>
      </c>
      <c r="M78" s="11" t="s">
        <v>290</v>
      </c>
      <c r="N78" s="12" t="n">
        <v>1</v>
      </c>
      <c r="O78" s="13" t="s">
        <v>8</v>
      </c>
      <c r="P78" s="13"/>
    </row>
    <row r="79" customFormat="false" ht="23.85" hidden="false" customHeight="false" outlineLevel="0" collapsed="false">
      <c r="A79" s="11" t="n">
        <v>75</v>
      </c>
      <c r="B79" s="11" t="s">
        <v>291</v>
      </c>
      <c r="C79" s="11" t="s">
        <v>292</v>
      </c>
      <c r="D79" s="11" t="s">
        <v>71</v>
      </c>
      <c r="E79" s="11" t="n">
        <v>67</v>
      </c>
      <c r="F79" s="11" t="n">
        <v>1</v>
      </c>
      <c r="G79" s="11" t="n">
        <v>1</v>
      </c>
      <c r="H79" s="11" t="s">
        <v>284</v>
      </c>
      <c r="I79" s="11" t="s">
        <v>285</v>
      </c>
      <c r="J79" s="11" t="s">
        <v>286</v>
      </c>
      <c r="K79" s="11" t="s">
        <v>55</v>
      </c>
      <c r="L79" s="11" t="s">
        <v>287</v>
      </c>
      <c r="M79" s="11" t="s">
        <v>290</v>
      </c>
      <c r="N79" s="12" t="n">
        <v>1</v>
      </c>
      <c r="O79" s="13" t="s">
        <v>8</v>
      </c>
      <c r="P79" s="13"/>
    </row>
    <row r="80" customFormat="false" ht="23.85" hidden="false" customHeight="false" outlineLevel="0" collapsed="false">
      <c r="A80" s="11" t="n">
        <v>76</v>
      </c>
      <c r="B80" s="11" t="s">
        <v>293</v>
      </c>
      <c r="C80" s="11" t="s">
        <v>294</v>
      </c>
      <c r="D80" s="11" t="s">
        <v>71</v>
      </c>
      <c r="E80" s="11" t="n">
        <v>287</v>
      </c>
      <c r="F80" s="11" t="n">
        <v>1</v>
      </c>
      <c r="G80" s="11" t="n">
        <v>0</v>
      </c>
      <c r="H80" s="11" t="s">
        <v>284</v>
      </c>
      <c r="I80" s="11" t="s">
        <v>285</v>
      </c>
      <c r="J80" s="11" t="s">
        <v>286</v>
      </c>
      <c r="K80" s="11" t="s">
        <v>55</v>
      </c>
      <c r="L80" s="11" t="s">
        <v>287</v>
      </c>
      <c r="M80" s="11" t="s">
        <v>290</v>
      </c>
      <c r="N80" s="12" t="n">
        <v>1</v>
      </c>
      <c r="O80" s="13" t="s">
        <v>8</v>
      </c>
      <c r="P80" s="13"/>
    </row>
    <row r="81" customFormat="false" ht="23.85" hidden="false" customHeight="false" outlineLevel="0" collapsed="false">
      <c r="A81" s="11" t="n">
        <v>77</v>
      </c>
      <c r="B81" s="11" t="s">
        <v>295</v>
      </c>
      <c r="C81" s="11" t="s">
        <v>296</v>
      </c>
      <c r="D81" s="11" t="s">
        <v>71</v>
      </c>
      <c r="E81" s="11" t="n">
        <v>247</v>
      </c>
      <c r="F81" s="11" t="n">
        <v>1</v>
      </c>
      <c r="G81" s="11" t="n">
        <v>0</v>
      </c>
      <c r="H81" s="11" t="s">
        <v>284</v>
      </c>
      <c r="I81" s="11" t="s">
        <v>285</v>
      </c>
      <c r="J81" s="11" t="s">
        <v>286</v>
      </c>
      <c r="K81" s="11" t="s">
        <v>55</v>
      </c>
      <c r="L81" s="11" t="s">
        <v>287</v>
      </c>
      <c r="M81" s="11" t="s">
        <v>290</v>
      </c>
      <c r="N81" s="12" t="n">
        <v>1</v>
      </c>
      <c r="O81" s="13" t="s">
        <v>8</v>
      </c>
      <c r="P81" s="13"/>
    </row>
    <row r="82" customFormat="false" ht="23.85" hidden="false" customHeight="false" outlineLevel="0" collapsed="false">
      <c r="A82" s="11" t="n">
        <v>78</v>
      </c>
      <c r="B82" s="11" t="s">
        <v>297</v>
      </c>
      <c r="C82" s="11" t="s">
        <v>298</v>
      </c>
      <c r="D82" s="11" t="s">
        <v>71</v>
      </c>
      <c r="E82" s="11" t="n">
        <v>141</v>
      </c>
      <c r="F82" s="11" t="n">
        <v>0</v>
      </c>
      <c r="G82" s="11" t="n">
        <v>0</v>
      </c>
      <c r="H82" s="11" t="s">
        <v>284</v>
      </c>
      <c r="I82" s="11" t="s">
        <v>285</v>
      </c>
      <c r="J82" s="11" t="s">
        <v>286</v>
      </c>
      <c r="K82" s="11" t="s">
        <v>55</v>
      </c>
      <c r="L82" s="11" t="s">
        <v>287</v>
      </c>
      <c r="M82" s="11" t="s">
        <v>57</v>
      </c>
      <c r="N82" s="12" t="n">
        <v>0</v>
      </c>
      <c r="O82" s="13" t="s">
        <v>8</v>
      </c>
      <c r="P82" s="13"/>
    </row>
    <row r="83" customFormat="false" ht="23.85" hidden="false" customHeight="false" outlineLevel="0" collapsed="false">
      <c r="A83" s="11" t="n">
        <v>79</v>
      </c>
      <c r="B83" s="11" t="s">
        <v>299</v>
      </c>
      <c r="C83" s="11" t="s">
        <v>300</v>
      </c>
      <c r="D83" s="11" t="s">
        <v>71</v>
      </c>
      <c r="E83" s="11" t="n">
        <v>175</v>
      </c>
      <c r="F83" s="11" t="n">
        <v>0</v>
      </c>
      <c r="G83" s="11" t="n">
        <v>0</v>
      </c>
      <c r="H83" s="11" t="s">
        <v>284</v>
      </c>
      <c r="I83" s="11" t="s">
        <v>285</v>
      </c>
      <c r="J83" s="11" t="s">
        <v>286</v>
      </c>
      <c r="K83" s="11" t="s">
        <v>55</v>
      </c>
      <c r="L83" s="11" t="s">
        <v>287</v>
      </c>
      <c r="M83" s="11" t="s">
        <v>57</v>
      </c>
      <c r="N83" s="12" t="n">
        <v>0</v>
      </c>
      <c r="O83" s="13" t="s">
        <v>8</v>
      </c>
      <c r="P83" s="13"/>
    </row>
    <row r="84" customFormat="false" ht="23.85" hidden="false" customHeight="false" outlineLevel="0" collapsed="false">
      <c r="A84" s="11" t="n">
        <v>80</v>
      </c>
      <c r="B84" s="11" t="s">
        <v>301</v>
      </c>
      <c r="C84" s="11" t="s">
        <v>302</v>
      </c>
      <c r="D84" s="11" t="s">
        <v>71</v>
      </c>
      <c r="E84" s="11" t="n">
        <v>227</v>
      </c>
      <c r="F84" s="11" t="n">
        <v>2</v>
      </c>
      <c r="G84" s="11" t="n">
        <v>0</v>
      </c>
      <c r="H84" s="11" t="s">
        <v>284</v>
      </c>
      <c r="I84" s="11" t="s">
        <v>285</v>
      </c>
      <c r="J84" s="11" t="s">
        <v>286</v>
      </c>
      <c r="K84" s="11" t="s">
        <v>55</v>
      </c>
      <c r="L84" s="11" t="s">
        <v>287</v>
      </c>
      <c r="M84" s="11" t="s">
        <v>290</v>
      </c>
      <c r="N84" s="12" t="n">
        <v>1</v>
      </c>
      <c r="O84" s="13" t="s">
        <v>8</v>
      </c>
      <c r="P84" s="13"/>
    </row>
    <row r="85" customFormat="false" ht="23.85" hidden="false" customHeight="false" outlineLevel="0" collapsed="false">
      <c r="A85" s="11" t="n">
        <v>81</v>
      </c>
      <c r="B85" s="11" t="s">
        <v>303</v>
      </c>
      <c r="C85" s="11" t="s">
        <v>304</v>
      </c>
      <c r="D85" s="11" t="s">
        <v>71</v>
      </c>
      <c r="E85" s="11" t="n">
        <v>110</v>
      </c>
      <c r="F85" s="11" t="n">
        <v>2</v>
      </c>
      <c r="G85" s="11" t="n">
        <v>0</v>
      </c>
      <c r="H85" s="11" t="s">
        <v>284</v>
      </c>
      <c r="I85" s="11" t="s">
        <v>285</v>
      </c>
      <c r="J85" s="11" t="s">
        <v>286</v>
      </c>
      <c r="K85" s="11" t="s">
        <v>55</v>
      </c>
      <c r="L85" s="11" t="s">
        <v>287</v>
      </c>
      <c r="M85" s="11" t="s">
        <v>290</v>
      </c>
      <c r="N85" s="12" t="n">
        <v>1</v>
      </c>
      <c r="O85" s="13" t="s">
        <v>8</v>
      </c>
      <c r="P85" s="13"/>
    </row>
    <row r="86" customFormat="false" ht="23.85" hidden="false" customHeight="false" outlineLevel="0" collapsed="false">
      <c r="A86" s="11" t="n">
        <v>82</v>
      </c>
      <c r="B86" s="11" t="s">
        <v>305</v>
      </c>
      <c r="C86" s="11" t="s">
        <v>306</v>
      </c>
      <c r="D86" s="11" t="s">
        <v>51</v>
      </c>
      <c r="E86" s="11" t="n">
        <v>110</v>
      </c>
      <c r="F86" s="11" t="n">
        <v>1</v>
      </c>
      <c r="G86" s="11" t="n">
        <v>0</v>
      </c>
      <c r="H86" s="11" t="s">
        <v>284</v>
      </c>
      <c r="I86" s="11" t="s">
        <v>285</v>
      </c>
      <c r="J86" s="11" t="s">
        <v>286</v>
      </c>
      <c r="K86" s="11" t="s">
        <v>55</v>
      </c>
      <c r="L86" s="11" t="s">
        <v>287</v>
      </c>
      <c r="M86" s="11" t="s">
        <v>290</v>
      </c>
      <c r="N86" s="12" t="n">
        <v>1</v>
      </c>
      <c r="O86" s="13" t="s">
        <v>8</v>
      </c>
      <c r="P86" s="13"/>
    </row>
    <row r="87" customFormat="false" ht="23.85" hidden="false" customHeight="false" outlineLevel="0" collapsed="false">
      <c r="A87" s="11" t="n">
        <v>83</v>
      </c>
      <c r="B87" s="11" t="s">
        <v>307</v>
      </c>
      <c r="C87" s="11" t="s">
        <v>308</v>
      </c>
      <c r="D87" s="11" t="s">
        <v>71</v>
      </c>
      <c r="E87" s="11" t="n">
        <v>77</v>
      </c>
      <c r="F87" s="11" t="n">
        <v>1</v>
      </c>
      <c r="G87" s="11" t="n">
        <v>0</v>
      </c>
      <c r="H87" s="11" t="s">
        <v>284</v>
      </c>
      <c r="I87" s="11" t="s">
        <v>285</v>
      </c>
      <c r="J87" s="11" t="s">
        <v>286</v>
      </c>
      <c r="K87" s="11" t="s">
        <v>55</v>
      </c>
      <c r="L87" s="11" t="s">
        <v>287</v>
      </c>
      <c r="M87" s="11" t="s">
        <v>290</v>
      </c>
      <c r="N87" s="12" t="n">
        <v>1</v>
      </c>
      <c r="O87" s="13" t="s">
        <v>8</v>
      </c>
      <c r="P87" s="13"/>
    </row>
    <row r="88" customFormat="false" ht="23.85" hidden="false" customHeight="false" outlineLevel="0" collapsed="false">
      <c r="A88" s="11" t="n">
        <v>84</v>
      </c>
      <c r="B88" s="11" t="s">
        <v>309</v>
      </c>
      <c r="C88" s="11" t="s">
        <v>310</v>
      </c>
      <c r="D88" s="11" t="s">
        <v>71</v>
      </c>
      <c r="E88" s="11" t="n">
        <v>318</v>
      </c>
      <c r="F88" s="11" t="n">
        <v>0</v>
      </c>
      <c r="G88" s="11" t="n">
        <v>0</v>
      </c>
      <c r="H88" s="11" t="s">
        <v>284</v>
      </c>
      <c r="I88" s="11" t="s">
        <v>285</v>
      </c>
      <c r="J88" s="11" t="s">
        <v>286</v>
      </c>
      <c r="K88" s="11" t="s">
        <v>55</v>
      </c>
      <c r="L88" s="11" t="s">
        <v>287</v>
      </c>
      <c r="M88" s="11" t="s">
        <v>57</v>
      </c>
      <c r="N88" s="12" t="n">
        <v>0</v>
      </c>
      <c r="O88" s="13" t="s">
        <v>8</v>
      </c>
      <c r="P88" s="13"/>
    </row>
    <row r="89" customFormat="false" ht="23.85" hidden="false" customHeight="false" outlineLevel="0" collapsed="false">
      <c r="A89" s="11" t="n">
        <v>85</v>
      </c>
      <c r="B89" s="11" t="s">
        <v>311</v>
      </c>
      <c r="C89" s="11" t="s">
        <v>312</v>
      </c>
      <c r="D89" s="11" t="s">
        <v>71</v>
      </c>
      <c r="E89" s="11" t="n">
        <v>193</v>
      </c>
      <c r="F89" s="11" t="n">
        <v>0</v>
      </c>
      <c r="G89" s="11" t="n">
        <v>0</v>
      </c>
      <c r="H89" s="11" t="s">
        <v>284</v>
      </c>
      <c r="I89" s="11" t="s">
        <v>285</v>
      </c>
      <c r="J89" s="11" t="s">
        <v>286</v>
      </c>
      <c r="K89" s="11" t="s">
        <v>55</v>
      </c>
      <c r="L89" s="11" t="s">
        <v>287</v>
      </c>
      <c r="M89" s="11" t="s">
        <v>57</v>
      </c>
      <c r="N89" s="12" t="n">
        <v>0</v>
      </c>
      <c r="O89" s="13" t="s">
        <v>8</v>
      </c>
      <c r="P89" s="13"/>
    </row>
    <row r="90" customFormat="false" ht="23.85" hidden="false" customHeight="false" outlineLevel="0" collapsed="false">
      <c r="A90" s="11" t="n">
        <v>86</v>
      </c>
      <c r="B90" s="11" t="s">
        <v>313</v>
      </c>
      <c r="C90" s="11" t="s">
        <v>314</v>
      </c>
      <c r="D90" s="11" t="s">
        <v>71</v>
      </c>
      <c r="E90" s="11" t="n">
        <v>144</v>
      </c>
      <c r="F90" s="11" t="n">
        <v>1</v>
      </c>
      <c r="G90" s="11" t="n">
        <v>0</v>
      </c>
      <c r="H90" s="11" t="s">
        <v>284</v>
      </c>
      <c r="I90" s="11" t="s">
        <v>285</v>
      </c>
      <c r="J90" s="11" t="s">
        <v>286</v>
      </c>
      <c r="K90" s="11" t="s">
        <v>55</v>
      </c>
      <c r="L90" s="11" t="s">
        <v>287</v>
      </c>
      <c r="M90" s="11" t="s">
        <v>104</v>
      </c>
      <c r="N90" s="12" t="n">
        <v>1</v>
      </c>
      <c r="O90" s="13" t="s">
        <v>8</v>
      </c>
      <c r="P90" s="13"/>
    </row>
    <row r="91" customFormat="false" ht="23.85" hidden="false" customHeight="false" outlineLevel="0" collapsed="false">
      <c r="A91" s="11" t="n">
        <v>87</v>
      </c>
      <c r="B91" s="11" t="s">
        <v>315</v>
      </c>
      <c r="C91" s="11" t="s">
        <v>316</v>
      </c>
      <c r="D91" s="11" t="s">
        <v>71</v>
      </c>
      <c r="E91" s="11" t="n">
        <v>145</v>
      </c>
      <c r="F91" s="11" t="n">
        <v>10</v>
      </c>
      <c r="G91" s="11" t="n">
        <v>0</v>
      </c>
      <c r="H91" s="11" t="s">
        <v>215</v>
      </c>
      <c r="I91" s="11" t="s">
        <v>317</v>
      </c>
      <c r="J91" s="11" t="s">
        <v>210</v>
      </c>
      <c r="K91" s="11" t="s">
        <v>210</v>
      </c>
      <c r="L91" s="11" t="s">
        <v>87</v>
      </c>
      <c r="M91" s="11" t="s">
        <v>217</v>
      </c>
      <c r="N91" s="12" t="n">
        <v>1</v>
      </c>
      <c r="O91" s="13" t="s">
        <v>8</v>
      </c>
      <c r="P91" s="13"/>
    </row>
    <row r="92" customFormat="false" ht="23.85" hidden="false" customHeight="false" outlineLevel="0" collapsed="false">
      <c r="A92" s="11" t="n">
        <v>88</v>
      </c>
      <c r="B92" s="11" t="s">
        <v>318</v>
      </c>
      <c r="C92" s="11" t="s">
        <v>266</v>
      </c>
      <c r="D92" s="11" t="s">
        <v>51</v>
      </c>
      <c r="E92" s="11" t="n">
        <v>38</v>
      </c>
      <c r="F92" s="11" t="n">
        <v>1</v>
      </c>
      <c r="G92" s="11" t="n">
        <v>0</v>
      </c>
      <c r="H92" s="11" t="s">
        <v>215</v>
      </c>
      <c r="I92" s="11" t="s">
        <v>317</v>
      </c>
      <c r="J92" s="11" t="s">
        <v>210</v>
      </c>
      <c r="K92" s="11" t="s">
        <v>210</v>
      </c>
      <c r="L92" s="11" t="s">
        <v>87</v>
      </c>
      <c r="M92" s="11" t="s">
        <v>217</v>
      </c>
      <c r="N92" s="12" t="n">
        <v>1</v>
      </c>
      <c r="O92" s="13" t="s">
        <v>8</v>
      </c>
      <c r="P92" s="13"/>
    </row>
    <row r="93" customFormat="false" ht="23.85" hidden="false" customHeight="false" outlineLevel="0" collapsed="false">
      <c r="A93" s="11" t="n">
        <v>89</v>
      </c>
      <c r="B93" s="11" t="s">
        <v>319</v>
      </c>
      <c r="C93" s="11" t="s">
        <v>320</v>
      </c>
      <c r="D93" s="11" t="s">
        <v>51</v>
      </c>
      <c r="E93" s="11" t="n">
        <v>323</v>
      </c>
      <c r="F93" s="11" t="n">
        <v>3</v>
      </c>
      <c r="G93" s="11" t="n">
        <v>0</v>
      </c>
      <c r="H93" s="11" t="s">
        <v>215</v>
      </c>
      <c r="I93" s="11" t="s">
        <v>317</v>
      </c>
      <c r="J93" s="11" t="s">
        <v>210</v>
      </c>
      <c r="K93" s="11" t="s">
        <v>210</v>
      </c>
      <c r="L93" s="11" t="s">
        <v>87</v>
      </c>
      <c r="M93" s="11" t="s">
        <v>217</v>
      </c>
      <c r="N93" s="12" t="n">
        <v>1</v>
      </c>
      <c r="O93" s="13" t="s">
        <v>8</v>
      </c>
      <c r="P93" s="13"/>
    </row>
    <row r="94" customFormat="false" ht="23.85" hidden="false" customHeight="false" outlineLevel="0" collapsed="false">
      <c r="A94" s="11" t="n">
        <v>90</v>
      </c>
      <c r="B94" s="11" t="s">
        <v>321</v>
      </c>
      <c r="C94" s="11" t="s">
        <v>322</v>
      </c>
      <c r="D94" s="11" t="s">
        <v>51</v>
      </c>
      <c r="E94" s="11" t="n">
        <v>100</v>
      </c>
      <c r="F94" s="11" t="n">
        <v>3</v>
      </c>
      <c r="G94" s="11" t="n">
        <v>0</v>
      </c>
      <c r="H94" s="11" t="s">
        <v>215</v>
      </c>
      <c r="I94" s="11" t="s">
        <v>317</v>
      </c>
      <c r="J94" s="11" t="s">
        <v>210</v>
      </c>
      <c r="K94" s="11" t="s">
        <v>210</v>
      </c>
      <c r="L94" s="11" t="s">
        <v>87</v>
      </c>
      <c r="M94" s="11" t="s">
        <v>217</v>
      </c>
      <c r="N94" s="12" t="n">
        <v>1</v>
      </c>
      <c r="O94" s="13" t="s">
        <v>8</v>
      </c>
      <c r="P94" s="13"/>
    </row>
    <row r="95" customFormat="false" ht="23.85" hidden="false" customHeight="false" outlineLevel="0" collapsed="false">
      <c r="A95" s="11" t="n">
        <v>91</v>
      </c>
      <c r="B95" s="11" t="s">
        <v>323</v>
      </c>
      <c r="C95" s="11" t="s">
        <v>324</v>
      </c>
      <c r="D95" s="11" t="s">
        <v>71</v>
      </c>
      <c r="E95" s="11" t="n">
        <v>229</v>
      </c>
      <c r="F95" s="11" t="n">
        <v>4</v>
      </c>
      <c r="G95" s="11" t="n">
        <v>0</v>
      </c>
      <c r="H95" s="11" t="s">
        <v>215</v>
      </c>
      <c r="I95" s="11" t="s">
        <v>317</v>
      </c>
      <c r="J95" s="11" t="s">
        <v>210</v>
      </c>
      <c r="K95" s="11" t="s">
        <v>210</v>
      </c>
      <c r="L95" s="11" t="s">
        <v>325</v>
      </c>
      <c r="M95" s="11" t="s">
        <v>217</v>
      </c>
      <c r="N95" s="12" t="n">
        <v>1</v>
      </c>
      <c r="O95" s="13" t="s">
        <v>8</v>
      </c>
      <c r="P95" s="13"/>
    </row>
    <row r="96" customFormat="false" ht="15" hidden="false" customHeight="false" outlineLevel="0" collapsed="false">
      <c r="A96" s="11" t="n">
        <v>92</v>
      </c>
      <c r="B96" s="11" t="s">
        <v>326</v>
      </c>
      <c r="C96" s="11" t="s">
        <v>327</v>
      </c>
      <c r="D96" s="11" t="s">
        <v>51</v>
      </c>
      <c r="E96" s="11" t="n">
        <v>21</v>
      </c>
      <c r="F96" s="11" t="n">
        <v>0</v>
      </c>
      <c r="G96" s="11" t="n">
        <v>0</v>
      </c>
      <c r="H96" s="11" t="s">
        <v>207</v>
      </c>
      <c r="I96" s="11" t="s">
        <v>232</v>
      </c>
      <c r="J96" s="11" t="s">
        <v>233</v>
      </c>
      <c r="K96" s="11" t="s">
        <v>55</v>
      </c>
      <c r="L96" s="11" t="s">
        <v>87</v>
      </c>
      <c r="M96" s="11" t="s">
        <v>57</v>
      </c>
      <c r="N96" s="12" t="n">
        <v>0</v>
      </c>
      <c r="O96" s="13" t="s">
        <v>8</v>
      </c>
      <c r="P96" s="13"/>
    </row>
    <row r="97" customFormat="false" ht="23.85" hidden="false" customHeight="false" outlineLevel="0" collapsed="false">
      <c r="A97" s="11" t="n">
        <v>93</v>
      </c>
      <c r="B97" s="11" t="s">
        <v>328</v>
      </c>
      <c r="C97" s="11" t="s">
        <v>166</v>
      </c>
      <c r="D97" s="11" t="s">
        <v>71</v>
      </c>
      <c r="E97" s="11" t="n">
        <v>455</v>
      </c>
      <c r="F97" s="11" t="n">
        <v>10</v>
      </c>
      <c r="G97" s="11" t="n">
        <v>0</v>
      </c>
      <c r="H97" s="11" t="s">
        <v>159</v>
      </c>
      <c r="I97" s="11" t="s">
        <v>165</v>
      </c>
      <c r="J97" s="11" t="s">
        <v>166</v>
      </c>
      <c r="K97" s="11" t="s">
        <v>55</v>
      </c>
      <c r="L97" s="11" t="s">
        <v>202</v>
      </c>
      <c r="M97" s="11" t="s">
        <v>88</v>
      </c>
      <c r="N97" s="12" t="n">
        <v>1</v>
      </c>
      <c r="O97" s="13" t="s">
        <v>8</v>
      </c>
      <c r="P97" s="13"/>
    </row>
    <row r="98" customFormat="false" ht="23.85" hidden="false" customHeight="false" outlineLevel="0" collapsed="false">
      <c r="A98" s="11" t="n">
        <v>94</v>
      </c>
      <c r="B98" s="11" t="s">
        <v>329</v>
      </c>
      <c r="C98" s="11" t="s">
        <v>330</v>
      </c>
      <c r="D98" s="11" t="s">
        <v>71</v>
      </c>
      <c r="E98" s="11" t="n">
        <v>275</v>
      </c>
      <c r="F98" s="11" t="n">
        <v>8</v>
      </c>
      <c r="G98" s="11" t="n">
        <v>0</v>
      </c>
      <c r="H98" s="11" t="s">
        <v>159</v>
      </c>
      <c r="I98" s="11" t="s">
        <v>331</v>
      </c>
      <c r="J98" s="11" t="s">
        <v>332</v>
      </c>
      <c r="K98" s="11" t="s">
        <v>55</v>
      </c>
      <c r="L98" s="11" t="s">
        <v>333</v>
      </c>
      <c r="M98" s="11" t="s">
        <v>88</v>
      </c>
      <c r="N98" s="12" t="n">
        <v>1</v>
      </c>
      <c r="O98" s="13" t="s">
        <v>8</v>
      </c>
      <c r="P98" s="13"/>
    </row>
    <row r="99" customFormat="false" ht="23.85" hidden="false" customHeight="false" outlineLevel="0" collapsed="false">
      <c r="A99" s="11" t="n">
        <v>95</v>
      </c>
      <c r="B99" s="11" t="s">
        <v>334</v>
      </c>
      <c r="C99" s="11" t="s">
        <v>335</v>
      </c>
      <c r="D99" s="11" t="s">
        <v>71</v>
      </c>
      <c r="E99" s="11" t="n">
        <v>201</v>
      </c>
      <c r="F99" s="11" t="n">
        <v>6</v>
      </c>
      <c r="G99" s="11" t="n">
        <v>0</v>
      </c>
      <c r="H99" s="11" t="s">
        <v>159</v>
      </c>
      <c r="I99" s="11" t="s">
        <v>336</v>
      </c>
      <c r="J99" s="11" t="s">
        <v>337</v>
      </c>
      <c r="K99" s="11" t="s">
        <v>55</v>
      </c>
      <c r="L99" s="11" t="s">
        <v>202</v>
      </c>
      <c r="M99" s="11" t="s">
        <v>88</v>
      </c>
      <c r="N99" s="12" t="n">
        <v>1</v>
      </c>
      <c r="O99" s="13" t="s">
        <v>8</v>
      </c>
      <c r="P99" s="13"/>
    </row>
    <row r="100" customFormat="false" ht="23.85" hidden="false" customHeight="false" outlineLevel="0" collapsed="false">
      <c r="A100" s="11" t="n">
        <v>96</v>
      </c>
      <c r="B100" s="11" t="s">
        <v>338</v>
      </c>
      <c r="C100" s="11" t="s">
        <v>339</v>
      </c>
      <c r="D100" s="11" t="s">
        <v>71</v>
      </c>
      <c r="E100" s="11" t="n">
        <v>720</v>
      </c>
      <c r="F100" s="11" t="n">
        <v>5</v>
      </c>
      <c r="G100" s="11" t="n">
        <v>2</v>
      </c>
      <c r="H100" s="11" t="s">
        <v>120</v>
      </c>
      <c r="I100" s="11" t="s">
        <v>340</v>
      </c>
      <c r="J100" s="11" t="s">
        <v>341</v>
      </c>
      <c r="K100" s="11" t="s">
        <v>55</v>
      </c>
      <c r="L100" s="11" t="s">
        <v>342</v>
      </c>
      <c r="M100" s="11" t="s">
        <v>88</v>
      </c>
      <c r="N100" s="12" t="n">
        <v>1</v>
      </c>
      <c r="O100" s="13" t="s">
        <v>8</v>
      </c>
      <c r="P100" s="13"/>
    </row>
    <row r="101" customFormat="false" ht="23.85" hidden="false" customHeight="false" outlineLevel="0" collapsed="false">
      <c r="A101" s="11" t="n">
        <v>97</v>
      </c>
      <c r="B101" s="11" t="s">
        <v>343</v>
      </c>
      <c r="C101" s="11" t="s">
        <v>344</v>
      </c>
      <c r="D101" s="11" t="s">
        <v>71</v>
      </c>
      <c r="E101" s="11" t="n">
        <v>75</v>
      </c>
      <c r="F101" s="11" t="n">
        <v>1</v>
      </c>
      <c r="G101" s="11" t="n">
        <v>0</v>
      </c>
      <c r="H101" s="11" t="s">
        <v>242</v>
      </c>
      <c r="I101" s="11" t="s">
        <v>243</v>
      </c>
      <c r="J101" s="11" t="s">
        <v>244</v>
      </c>
      <c r="K101" s="11" t="s">
        <v>210</v>
      </c>
      <c r="L101" s="11" t="s">
        <v>345</v>
      </c>
      <c r="M101" s="11" t="s">
        <v>88</v>
      </c>
      <c r="N101" s="12" t="n">
        <v>1</v>
      </c>
      <c r="O101" s="13" t="s">
        <v>8</v>
      </c>
      <c r="P101" s="13"/>
    </row>
    <row r="102" customFormat="false" ht="23.85" hidden="false" customHeight="false" outlineLevel="0" collapsed="false">
      <c r="A102" s="11" t="n">
        <v>98</v>
      </c>
      <c r="B102" s="11" t="s">
        <v>346</v>
      </c>
      <c r="C102" s="11" t="s">
        <v>344</v>
      </c>
      <c r="D102" s="11" t="s">
        <v>51</v>
      </c>
      <c r="E102" s="11" t="n">
        <v>136</v>
      </c>
      <c r="F102" s="11" t="n">
        <v>2</v>
      </c>
      <c r="G102" s="11" t="n">
        <v>0</v>
      </c>
      <c r="H102" s="11" t="s">
        <v>159</v>
      </c>
      <c r="I102" s="11" t="s">
        <v>160</v>
      </c>
      <c r="J102" s="11" t="s">
        <v>161</v>
      </c>
      <c r="K102" s="11" t="s">
        <v>55</v>
      </c>
      <c r="L102" s="11" t="s">
        <v>87</v>
      </c>
      <c r="M102" s="11" t="s">
        <v>88</v>
      </c>
      <c r="N102" s="12" t="n">
        <v>1</v>
      </c>
      <c r="O102" s="13" t="s">
        <v>8</v>
      </c>
      <c r="P102" s="13"/>
    </row>
    <row r="103" customFormat="false" ht="23.85" hidden="false" customHeight="false" outlineLevel="0" collapsed="false">
      <c r="A103" s="11" t="n">
        <v>99</v>
      </c>
      <c r="B103" s="11" t="s">
        <v>347</v>
      </c>
      <c r="C103" s="11" t="s">
        <v>348</v>
      </c>
      <c r="D103" s="11" t="s">
        <v>71</v>
      </c>
      <c r="E103" s="11" t="n">
        <v>488</v>
      </c>
      <c r="F103" s="11" t="n">
        <v>18</v>
      </c>
      <c r="G103" s="11" t="n">
        <v>0</v>
      </c>
      <c r="H103" s="11" t="s">
        <v>159</v>
      </c>
      <c r="I103" s="11" t="s">
        <v>160</v>
      </c>
      <c r="J103" s="11" t="s">
        <v>161</v>
      </c>
      <c r="K103" s="11" t="s">
        <v>55</v>
      </c>
      <c r="L103" s="11" t="s">
        <v>87</v>
      </c>
      <c r="M103" s="11" t="s">
        <v>88</v>
      </c>
      <c r="N103" s="12" t="n">
        <v>1</v>
      </c>
      <c r="O103" s="13" t="s">
        <v>8</v>
      </c>
      <c r="P103" s="13"/>
    </row>
    <row r="104" customFormat="false" ht="23.85" hidden="false" customHeight="false" outlineLevel="0" collapsed="false">
      <c r="A104" s="11" t="n">
        <v>100</v>
      </c>
      <c r="B104" s="11" t="s">
        <v>349</v>
      </c>
      <c r="C104" s="11" t="s">
        <v>350</v>
      </c>
      <c r="D104" s="11" t="s">
        <v>71</v>
      </c>
      <c r="E104" s="11" t="n">
        <v>76</v>
      </c>
      <c r="F104" s="11" t="n">
        <v>1</v>
      </c>
      <c r="G104" s="11" t="n">
        <v>0</v>
      </c>
      <c r="H104" s="11" t="s">
        <v>242</v>
      </c>
      <c r="I104" s="11" t="s">
        <v>243</v>
      </c>
      <c r="J104" s="11" t="s">
        <v>244</v>
      </c>
      <c r="K104" s="11" t="s">
        <v>210</v>
      </c>
      <c r="L104" s="11" t="s">
        <v>345</v>
      </c>
      <c r="M104" s="11" t="s">
        <v>88</v>
      </c>
      <c r="N104" s="12" t="n">
        <v>1</v>
      </c>
      <c r="O104" s="13" t="s">
        <v>8</v>
      </c>
      <c r="P104" s="13"/>
    </row>
    <row r="105" customFormat="false" ht="15" hidden="false" customHeight="false" outlineLevel="0" collapsed="false">
      <c r="A105" s="11" t="n">
        <v>101</v>
      </c>
      <c r="B105" s="11" t="s">
        <v>351</v>
      </c>
      <c r="C105" s="11" t="s">
        <v>352</v>
      </c>
      <c r="D105" s="11" t="s">
        <v>71</v>
      </c>
      <c r="E105" s="11" t="n">
        <v>162</v>
      </c>
      <c r="F105" s="11" t="n">
        <v>0</v>
      </c>
      <c r="G105" s="11" t="n">
        <v>0</v>
      </c>
      <c r="H105" s="11" t="s">
        <v>84</v>
      </c>
      <c r="I105" s="11" t="s">
        <v>353</v>
      </c>
      <c r="J105" s="11" t="s">
        <v>354</v>
      </c>
      <c r="K105" s="11" t="s">
        <v>210</v>
      </c>
      <c r="L105" s="11" t="s">
        <v>87</v>
      </c>
      <c r="M105" s="11" t="s">
        <v>57</v>
      </c>
      <c r="N105" s="12" t="n">
        <v>0</v>
      </c>
      <c r="O105" s="13" t="s">
        <v>8</v>
      </c>
      <c r="P105" s="13"/>
    </row>
    <row r="106" customFormat="false" ht="15" hidden="false" customHeight="false" outlineLevel="0" collapsed="false">
      <c r="A106" s="11" t="n">
        <v>102</v>
      </c>
      <c r="B106" s="11" t="s">
        <v>355</v>
      </c>
      <c r="C106" s="11" t="s">
        <v>356</v>
      </c>
      <c r="D106" s="11" t="s">
        <v>71</v>
      </c>
      <c r="E106" s="11" t="n">
        <v>757</v>
      </c>
      <c r="F106" s="11" t="n">
        <v>12</v>
      </c>
      <c r="G106" s="11" t="n">
        <v>0</v>
      </c>
      <c r="H106" s="11" t="s">
        <v>84</v>
      </c>
      <c r="I106" s="11" t="s">
        <v>357</v>
      </c>
      <c r="J106" s="11" t="s">
        <v>358</v>
      </c>
      <c r="K106" s="11" t="s">
        <v>210</v>
      </c>
      <c r="L106" s="11" t="s">
        <v>202</v>
      </c>
      <c r="M106" s="11" t="s">
        <v>104</v>
      </c>
      <c r="N106" s="12" t="n">
        <v>2</v>
      </c>
      <c r="O106" s="13" t="s">
        <v>8</v>
      </c>
      <c r="P106" s="13"/>
    </row>
    <row r="107" customFormat="false" ht="23.85" hidden="false" customHeight="false" outlineLevel="0" collapsed="false">
      <c r="A107" s="11" t="n">
        <v>103</v>
      </c>
      <c r="B107" s="11" t="s">
        <v>359</v>
      </c>
      <c r="C107" s="11" t="s">
        <v>360</v>
      </c>
      <c r="D107" s="11" t="s">
        <v>71</v>
      </c>
      <c r="E107" s="11" t="n">
        <v>346</v>
      </c>
      <c r="F107" s="11" t="n">
        <v>4</v>
      </c>
      <c r="G107" s="11" t="n">
        <v>0</v>
      </c>
      <c r="H107" s="11" t="s">
        <v>84</v>
      </c>
      <c r="I107" s="11" t="s">
        <v>361</v>
      </c>
      <c r="J107" s="11" t="s">
        <v>362</v>
      </c>
      <c r="K107" s="11" t="s">
        <v>210</v>
      </c>
      <c r="L107" s="11" t="s">
        <v>87</v>
      </c>
      <c r="M107" s="11" t="s">
        <v>88</v>
      </c>
      <c r="N107" s="12" t="n">
        <v>1</v>
      </c>
      <c r="O107" s="13" t="s">
        <v>8</v>
      </c>
      <c r="P107" s="13"/>
    </row>
    <row r="108" customFormat="false" ht="23.85" hidden="false" customHeight="false" outlineLevel="0" collapsed="false">
      <c r="A108" s="11" t="n">
        <v>104</v>
      </c>
      <c r="B108" s="11" t="s">
        <v>363</v>
      </c>
      <c r="C108" s="11" t="s">
        <v>364</v>
      </c>
      <c r="D108" s="11" t="s">
        <v>71</v>
      </c>
      <c r="E108" s="11" t="n">
        <v>257</v>
      </c>
      <c r="F108" s="11" t="n">
        <v>6</v>
      </c>
      <c r="G108" s="11" t="n">
        <v>0</v>
      </c>
      <c r="H108" s="11" t="s">
        <v>84</v>
      </c>
      <c r="I108" s="11" t="s">
        <v>361</v>
      </c>
      <c r="J108" s="11" t="s">
        <v>362</v>
      </c>
      <c r="K108" s="11" t="s">
        <v>210</v>
      </c>
      <c r="L108" s="11" t="s">
        <v>87</v>
      </c>
      <c r="M108" s="11" t="s">
        <v>88</v>
      </c>
      <c r="N108" s="12" t="n">
        <v>1</v>
      </c>
      <c r="O108" s="13" t="s">
        <v>8</v>
      </c>
      <c r="P108" s="13"/>
    </row>
    <row r="109" customFormat="false" ht="23.85" hidden="false" customHeight="false" outlineLevel="0" collapsed="false">
      <c r="A109" s="11" t="n">
        <v>105</v>
      </c>
      <c r="B109" s="11" t="s">
        <v>365</v>
      </c>
      <c r="C109" s="11" t="s">
        <v>366</v>
      </c>
      <c r="D109" s="11" t="s">
        <v>71</v>
      </c>
      <c r="E109" s="11" t="n">
        <v>480</v>
      </c>
      <c r="F109" s="11" t="n">
        <v>4</v>
      </c>
      <c r="G109" s="11" t="n">
        <v>0</v>
      </c>
      <c r="H109" s="11" t="s">
        <v>84</v>
      </c>
      <c r="I109" s="11" t="s">
        <v>367</v>
      </c>
      <c r="J109" s="11" t="s">
        <v>368</v>
      </c>
      <c r="K109" s="11" t="s">
        <v>210</v>
      </c>
      <c r="L109" s="11" t="s">
        <v>117</v>
      </c>
      <c r="M109" s="11" t="s">
        <v>88</v>
      </c>
      <c r="N109" s="12" t="n">
        <v>1</v>
      </c>
      <c r="O109" s="13" t="s">
        <v>8</v>
      </c>
      <c r="P109" s="13"/>
    </row>
    <row r="110" customFormat="false" ht="23.85" hidden="false" customHeight="false" outlineLevel="0" collapsed="false">
      <c r="A110" s="11" t="n">
        <v>106</v>
      </c>
      <c r="B110" s="11" t="s">
        <v>369</v>
      </c>
      <c r="C110" s="11" t="s">
        <v>370</v>
      </c>
      <c r="D110" s="11" t="s">
        <v>71</v>
      </c>
      <c r="E110" s="11" t="n">
        <v>88</v>
      </c>
      <c r="F110" s="11" t="n">
        <v>2</v>
      </c>
      <c r="G110" s="11" t="n">
        <v>0</v>
      </c>
      <c r="H110" s="11" t="s">
        <v>84</v>
      </c>
      <c r="I110" s="11" t="s">
        <v>361</v>
      </c>
      <c r="J110" s="11" t="s">
        <v>362</v>
      </c>
      <c r="K110" s="11" t="s">
        <v>210</v>
      </c>
      <c r="L110" s="11" t="s">
        <v>87</v>
      </c>
      <c r="M110" s="11" t="s">
        <v>88</v>
      </c>
      <c r="N110" s="12" t="n">
        <v>1</v>
      </c>
      <c r="O110" s="13" t="s">
        <v>8</v>
      </c>
      <c r="P110" s="13"/>
    </row>
    <row r="111" customFormat="false" ht="23.85" hidden="false" customHeight="false" outlineLevel="0" collapsed="false">
      <c r="A111" s="11" t="n">
        <v>107</v>
      </c>
      <c r="B111" s="11" t="s">
        <v>371</v>
      </c>
      <c r="C111" s="11" t="s">
        <v>372</v>
      </c>
      <c r="D111" s="11" t="s">
        <v>71</v>
      </c>
      <c r="E111" s="11" t="n">
        <v>173</v>
      </c>
      <c r="F111" s="11" t="n">
        <v>2</v>
      </c>
      <c r="G111" s="11" t="n">
        <v>0</v>
      </c>
      <c r="H111" s="11" t="s">
        <v>84</v>
      </c>
      <c r="I111" s="11" t="s">
        <v>353</v>
      </c>
      <c r="J111" s="11" t="s">
        <v>354</v>
      </c>
      <c r="K111" s="11" t="s">
        <v>210</v>
      </c>
      <c r="L111" s="11" t="s">
        <v>87</v>
      </c>
      <c r="M111" s="11" t="s">
        <v>88</v>
      </c>
      <c r="N111" s="12" t="n">
        <v>1</v>
      </c>
      <c r="O111" s="13" t="s">
        <v>8</v>
      </c>
      <c r="P111" s="13"/>
    </row>
    <row r="112" customFormat="false" ht="15" hidden="false" customHeight="false" outlineLevel="0" collapsed="false">
      <c r="A112" s="11" t="n">
        <v>108</v>
      </c>
      <c r="B112" s="11" t="s">
        <v>373</v>
      </c>
      <c r="C112" s="11" t="s">
        <v>184</v>
      </c>
      <c r="D112" s="11" t="s">
        <v>51</v>
      </c>
      <c r="E112" s="11" t="n">
        <v>132</v>
      </c>
      <c r="F112" s="11" t="n">
        <v>1</v>
      </c>
      <c r="G112" s="11" t="n">
        <v>0</v>
      </c>
      <c r="H112" s="11" t="s">
        <v>84</v>
      </c>
      <c r="I112" s="11" t="s">
        <v>357</v>
      </c>
      <c r="J112" s="11" t="s">
        <v>358</v>
      </c>
      <c r="K112" s="11" t="s">
        <v>210</v>
      </c>
      <c r="L112" s="11" t="s">
        <v>374</v>
      </c>
      <c r="M112" s="11" t="s">
        <v>104</v>
      </c>
      <c r="N112" s="12" t="n">
        <v>1</v>
      </c>
      <c r="O112" s="13" t="s">
        <v>8</v>
      </c>
      <c r="P112" s="13"/>
    </row>
    <row r="113" customFormat="false" ht="15" hidden="false" customHeight="false" outlineLevel="0" collapsed="false">
      <c r="A113" s="11" t="n">
        <v>109</v>
      </c>
      <c r="B113" s="11" t="s">
        <v>375</v>
      </c>
      <c r="C113" s="11" t="s">
        <v>376</v>
      </c>
      <c r="D113" s="11" t="s">
        <v>71</v>
      </c>
      <c r="E113" s="11" t="n">
        <v>109</v>
      </c>
      <c r="F113" s="11" t="n">
        <v>0</v>
      </c>
      <c r="G113" s="11" t="n">
        <v>0</v>
      </c>
      <c r="H113" s="11" t="s">
        <v>284</v>
      </c>
      <c r="I113" s="11" t="s">
        <v>285</v>
      </c>
      <c r="J113" s="11" t="s">
        <v>286</v>
      </c>
      <c r="K113" s="11" t="s">
        <v>55</v>
      </c>
      <c r="L113" s="11" t="s">
        <v>377</v>
      </c>
      <c r="M113" s="11" t="s">
        <v>57</v>
      </c>
      <c r="N113" s="12" t="n">
        <v>0</v>
      </c>
      <c r="O113" s="13" t="s">
        <v>8</v>
      </c>
      <c r="P113" s="13"/>
    </row>
    <row r="114" customFormat="false" ht="23.85" hidden="false" customHeight="false" outlineLevel="0" collapsed="false">
      <c r="A114" s="11" t="n">
        <v>110</v>
      </c>
      <c r="B114" s="11" t="s">
        <v>378</v>
      </c>
      <c r="C114" s="11" t="s">
        <v>379</v>
      </c>
      <c r="D114" s="11" t="s">
        <v>71</v>
      </c>
      <c r="E114" s="11" t="n">
        <v>39</v>
      </c>
      <c r="F114" s="11" t="n">
        <v>0</v>
      </c>
      <c r="G114" s="11" t="n">
        <v>0</v>
      </c>
      <c r="H114" s="11" t="s">
        <v>284</v>
      </c>
      <c r="I114" s="11" t="s">
        <v>285</v>
      </c>
      <c r="J114" s="11" t="s">
        <v>286</v>
      </c>
      <c r="K114" s="11" t="s">
        <v>55</v>
      </c>
      <c r="L114" s="11" t="s">
        <v>377</v>
      </c>
      <c r="M114" s="11" t="s">
        <v>57</v>
      </c>
      <c r="N114" s="12" t="n">
        <v>0</v>
      </c>
      <c r="O114" s="13" t="s">
        <v>8</v>
      </c>
      <c r="P114" s="13"/>
    </row>
    <row r="115" customFormat="false" ht="23.85" hidden="false" customHeight="false" outlineLevel="0" collapsed="false">
      <c r="A115" s="11" t="n">
        <v>111</v>
      </c>
      <c r="B115" s="11" t="s">
        <v>380</v>
      </c>
      <c r="C115" s="11" t="s">
        <v>381</v>
      </c>
      <c r="D115" s="11" t="s">
        <v>71</v>
      </c>
      <c r="E115" s="11" t="n">
        <v>48</v>
      </c>
      <c r="F115" s="11" t="n">
        <v>0</v>
      </c>
      <c r="G115" s="11" t="n">
        <v>0</v>
      </c>
      <c r="H115" s="11" t="s">
        <v>284</v>
      </c>
      <c r="I115" s="11" t="s">
        <v>285</v>
      </c>
      <c r="J115" s="11" t="s">
        <v>286</v>
      </c>
      <c r="K115" s="11" t="s">
        <v>55</v>
      </c>
      <c r="L115" s="11" t="s">
        <v>377</v>
      </c>
      <c r="M115" s="11" t="s">
        <v>57</v>
      </c>
      <c r="N115" s="12" t="n">
        <v>0</v>
      </c>
      <c r="O115" s="13" t="s">
        <v>8</v>
      </c>
      <c r="P115" s="13"/>
    </row>
    <row r="116" customFormat="false" ht="23.85" hidden="false" customHeight="false" outlineLevel="0" collapsed="false">
      <c r="A116" s="11" t="n">
        <v>112</v>
      </c>
      <c r="B116" s="11" t="s">
        <v>382</v>
      </c>
      <c r="C116" s="11" t="s">
        <v>383</v>
      </c>
      <c r="D116" s="11" t="s">
        <v>71</v>
      </c>
      <c r="E116" s="11" t="n">
        <v>43</v>
      </c>
      <c r="F116" s="11" t="n">
        <v>0</v>
      </c>
      <c r="G116" s="11" t="n">
        <v>0</v>
      </c>
      <c r="H116" s="11" t="s">
        <v>284</v>
      </c>
      <c r="I116" s="11" t="s">
        <v>285</v>
      </c>
      <c r="J116" s="11" t="s">
        <v>286</v>
      </c>
      <c r="K116" s="11" t="s">
        <v>55</v>
      </c>
      <c r="L116" s="11" t="s">
        <v>377</v>
      </c>
      <c r="M116" s="11" t="s">
        <v>57</v>
      </c>
      <c r="N116" s="12" t="n">
        <v>0</v>
      </c>
      <c r="O116" s="13" t="s">
        <v>8</v>
      </c>
      <c r="P116" s="13"/>
    </row>
    <row r="117" customFormat="false" ht="23.85" hidden="false" customHeight="false" outlineLevel="0" collapsed="false">
      <c r="A117" s="11" t="n">
        <v>113</v>
      </c>
      <c r="B117" s="11" t="s">
        <v>384</v>
      </c>
      <c r="C117" s="11" t="s">
        <v>385</v>
      </c>
      <c r="D117" s="11" t="s">
        <v>71</v>
      </c>
      <c r="E117" s="11" t="n">
        <v>993</v>
      </c>
      <c r="F117" s="11" t="n">
        <v>5</v>
      </c>
      <c r="G117" s="11" t="n">
        <v>0</v>
      </c>
      <c r="H117" s="11" t="s">
        <v>84</v>
      </c>
      <c r="I117" s="11" t="s">
        <v>386</v>
      </c>
      <c r="J117" s="11" t="s">
        <v>387</v>
      </c>
      <c r="K117" s="11" t="s">
        <v>210</v>
      </c>
      <c r="L117" s="11" t="s">
        <v>117</v>
      </c>
      <c r="M117" s="11" t="s">
        <v>88</v>
      </c>
      <c r="N117" s="12" t="n">
        <v>1</v>
      </c>
      <c r="O117" s="13" t="s">
        <v>8</v>
      </c>
      <c r="P117" s="13"/>
    </row>
    <row r="118" customFormat="false" ht="23.85" hidden="false" customHeight="false" outlineLevel="0" collapsed="false">
      <c r="A118" s="11" t="n">
        <v>114</v>
      </c>
      <c r="B118" s="11" t="s">
        <v>388</v>
      </c>
      <c r="C118" s="11" t="s">
        <v>389</v>
      </c>
      <c r="D118" s="11" t="s">
        <v>71</v>
      </c>
      <c r="E118" s="11" t="n">
        <v>273</v>
      </c>
      <c r="F118" s="11" t="n">
        <v>2</v>
      </c>
      <c r="G118" s="11" t="n">
        <v>0</v>
      </c>
      <c r="H118" s="11" t="s">
        <v>84</v>
      </c>
      <c r="I118" s="11" t="s">
        <v>390</v>
      </c>
      <c r="J118" s="11" t="s">
        <v>391</v>
      </c>
      <c r="K118" s="11" t="s">
        <v>210</v>
      </c>
      <c r="L118" s="11" t="s">
        <v>87</v>
      </c>
      <c r="M118" s="11" t="s">
        <v>88</v>
      </c>
      <c r="N118" s="12" t="n">
        <v>1</v>
      </c>
      <c r="O118" s="13" t="s">
        <v>8</v>
      </c>
      <c r="P118" s="13"/>
    </row>
    <row r="119" customFormat="false" ht="23.85" hidden="false" customHeight="false" outlineLevel="0" collapsed="false">
      <c r="A119" s="11" t="n">
        <v>115</v>
      </c>
      <c r="B119" s="11" t="s">
        <v>392</v>
      </c>
      <c r="C119" s="11" t="s">
        <v>393</v>
      </c>
      <c r="D119" s="11" t="s">
        <v>71</v>
      </c>
      <c r="E119" s="11" t="n">
        <v>974</v>
      </c>
      <c r="F119" s="11" t="n">
        <v>9</v>
      </c>
      <c r="G119" s="11" t="n">
        <v>0</v>
      </c>
      <c r="H119" s="11" t="s">
        <v>84</v>
      </c>
      <c r="I119" s="11" t="s">
        <v>394</v>
      </c>
      <c r="J119" s="11" t="s">
        <v>395</v>
      </c>
      <c r="K119" s="11" t="s">
        <v>210</v>
      </c>
      <c r="L119" s="11" t="s">
        <v>202</v>
      </c>
      <c r="M119" s="11" t="s">
        <v>88</v>
      </c>
      <c r="N119" s="12" t="n">
        <v>1</v>
      </c>
      <c r="O119" s="13" t="s">
        <v>8</v>
      </c>
      <c r="P119" s="13"/>
    </row>
    <row r="120" customFormat="false" ht="15" hidden="false" customHeight="false" outlineLevel="0" collapsed="false">
      <c r="A120" s="11" t="n">
        <v>116</v>
      </c>
      <c r="B120" s="11" t="s">
        <v>396</v>
      </c>
      <c r="C120" s="11" t="s">
        <v>397</v>
      </c>
      <c r="D120" s="11" t="s">
        <v>71</v>
      </c>
      <c r="E120" s="11" t="n">
        <v>144</v>
      </c>
      <c r="F120" s="11" t="n">
        <v>0</v>
      </c>
      <c r="G120" s="11" t="n">
        <v>0</v>
      </c>
      <c r="H120" s="11" t="s">
        <v>84</v>
      </c>
      <c r="I120" s="11" t="s">
        <v>390</v>
      </c>
      <c r="J120" s="11" t="s">
        <v>391</v>
      </c>
      <c r="K120" s="11" t="s">
        <v>210</v>
      </c>
      <c r="L120" s="11" t="s">
        <v>87</v>
      </c>
      <c r="M120" s="11" t="s">
        <v>57</v>
      </c>
      <c r="N120" s="12" t="n">
        <v>0</v>
      </c>
      <c r="O120" s="13" t="s">
        <v>8</v>
      </c>
      <c r="P120" s="13"/>
    </row>
    <row r="121" customFormat="false" ht="23.85" hidden="false" customHeight="false" outlineLevel="0" collapsed="false">
      <c r="A121" s="11" t="n">
        <v>117</v>
      </c>
      <c r="B121" s="11" t="s">
        <v>398</v>
      </c>
      <c r="C121" s="11" t="s">
        <v>399</v>
      </c>
      <c r="D121" s="11" t="s">
        <v>51</v>
      </c>
      <c r="E121" s="11" t="n">
        <v>530</v>
      </c>
      <c r="F121" s="11" t="n">
        <v>6</v>
      </c>
      <c r="G121" s="11" t="n">
        <v>0</v>
      </c>
      <c r="H121" s="11" t="s">
        <v>84</v>
      </c>
      <c r="I121" s="11" t="s">
        <v>386</v>
      </c>
      <c r="J121" s="11" t="s">
        <v>387</v>
      </c>
      <c r="K121" s="11" t="s">
        <v>210</v>
      </c>
      <c r="L121" s="11" t="s">
        <v>117</v>
      </c>
      <c r="M121" s="11" t="s">
        <v>88</v>
      </c>
      <c r="N121" s="12" t="n">
        <v>1</v>
      </c>
      <c r="O121" s="13" t="s">
        <v>8</v>
      </c>
      <c r="P121" s="13"/>
    </row>
    <row r="122" customFormat="false" ht="23.85" hidden="false" customHeight="false" outlineLevel="0" collapsed="false">
      <c r="A122" s="11" t="n">
        <v>118</v>
      </c>
      <c r="B122" s="11" t="s">
        <v>400</v>
      </c>
      <c r="C122" s="11" t="s">
        <v>401</v>
      </c>
      <c r="D122" s="11" t="s">
        <v>71</v>
      </c>
      <c r="E122" s="11" t="n">
        <v>525</v>
      </c>
      <c r="F122" s="11" t="n">
        <v>1</v>
      </c>
      <c r="G122" s="11" t="n">
        <v>0</v>
      </c>
      <c r="H122" s="11" t="s">
        <v>120</v>
      </c>
      <c r="I122" s="11" t="s">
        <v>402</v>
      </c>
      <c r="J122" s="11" t="s">
        <v>403</v>
      </c>
      <c r="K122" s="11" t="s">
        <v>55</v>
      </c>
      <c r="L122" s="11" t="s">
        <v>202</v>
      </c>
      <c r="M122" s="11" t="s">
        <v>88</v>
      </c>
      <c r="N122" s="12" t="n">
        <v>1</v>
      </c>
      <c r="O122" s="13" t="s">
        <v>8</v>
      </c>
      <c r="P122" s="13"/>
    </row>
    <row r="123" customFormat="false" ht="23.85" hidden="false" customHeight="false" outlineLevel="0" collapsed="false">
      <c r="A123" s="11" t="n">
        <v>119</v>
      </c>
      <c r="B123" s="11" t="s">
        <v>404</v>
      </c>
      <c r="C123" s="11" t="s">
        <v>405</v>
      </c>
      <c r="D123" s="11" t="s">
        <v>71</v>
      </c>
      <c r="E123" s="11" t="n">
        <v>2813</v>
      </c>
      <c r="F123" s="11" t="n">
        <v>28</v>
      </c>
      <c r="G123" s="11" t="n">
        <v>3</v>
      </c>
      <c r="H123" s="11" t="s">
        <v>120</v>
      </c>
      <c r="I123" s="11" t="s">
        <v>406</v>
      </c>
      <c r="J123" s="11" t="s">
        <v>407</v>
      </c>
      <c r="K123" s="11" t="s">
        <v>210</v>
      </c>
      <c r="L123" s="11" t="s">
        <v>408</v>
      </c>
      <c r="M123" s="11" t="s">
        <v>88</v>
      </c>
      <c r="N123" s="12" t="n">
        <v>1</v>
      </c>
      <c r="O123" s="13" t="s">
        <v>8</v>
      </c>
      <c r="P123" s="13"/>
    </row>
    <row r="124" customFormat="false" ht="23.85" hidden="false" customHeight="false" outlineLevel="0" collapsed="false">
      <c r="A124" s="11" t="n">
        <v>120</v>
      </c>
      <c r="B124" s="11" t="s">
        <v>409</v>
      </c>
      <c r="C124" s="11" t="s">
        <v>410</v>
      </c>
      <c r="D124" s="11" t="s">
        <v>71</v>
      </c>
      <c r="E124" s="11" t="n">
        <v>162</v>
      </c>
      <c r="F124" s="11" t="n">
        <v>1</v>
      </c>
      <c r="G124" s="11" t="n">
        <v>0</v>
      </c>
      <c r="H124" s="11" t="s">
        <v>120</v>
      </c>
      <c r="I124" s="11" t="s">
        <v>340</v>
      </c>
      <c r="J124" s="11" t="s">
        <v>341</v>
      </c>
      <c r="K124" s="11" t="s">
        <v>55</v>
      </c>
      <c r="L124" s="11" t="s">
        <v>87</v>
      </c>
      <c r="M124" s="11" t="s">
        <v>88</v>
      </c>
      <c r="N124" s="12" t="n">
        <v>1</v>
      </c>
      <c r="O124" s="13" t="s">
        <v>8</v>
      </c>
      <c r="P124" s="13"/>
    </row>
    <row r="125" customFormat="false" ht="15" hidden="false" customHeight="false" outlineLevel="0" collapsed="false">
      <c r="A125" s="11" t="n">
        <v>121</v>
      </c>
      <c r="B125" s="11" t="s">
        <v>411</v>
      </c>
      <c r="C125" s="11" t="s">
        <v>412</v>
      </c>
      <c r="D125" s="11" t="s">
        <v>71</v>
      </c>
      <c r="E125" s="11" t="n">
        <v>427</v>
      </c>
      <c r="F125" s="11" t="n">
        <v>0</v>
      </c>
      <c r="G125" s="11" t="n">
        <v>0</v>
      </c>
      <c r="H125" s="11" t="s">
        <v>120</v>
      </c>
      <c r="I125" s="11" t="s">
        <v>413</v>
      </c>
      <c r="J125" s="11" t="s">
        <v>414</v>
      </c>
      <c r="K125" s="11" t="s">
        <v>210</v>
      </c>
      <c r="L125" s="11" t="s">
        <v>87</v>
      </c>
      <c r="M125" s="11" t="s">
        <v>57</v>
      </c>
      <c r="N125" s="12" t="n">
        <v>0</v>
      </c>
      <c r="O125" s="13" t="s">
        <v>8</v>
      </c>
      <c r="P125" s="13"/>
    </row>
    <row r="126" customFormat="false" ht="23.85" hidden="false" customHeight="false" outlineLevel="0" collapsed="false">
      <c r="A126" s="11" t="n">
        <v>122</v>
      </c>
      <c r="B126" s="11" t="s">
        <v>415</v>
      </c>
      <c r="C126" s="11" t="s">
        <v>416</v>
      </c>
      <c r="D126" s="11" t="s">
        <v>71</v>
      </c>
      <c r="E126" s="11" t="n">
        <v>399</v>
      </c>
      <c r="F126" s="11" t="n">
        <v>6</v>
      </c>
      <c r="G126" s="11" t="n">
        <v>0</v>
      </c>
      <c r="H126" s="11" t="s">
        <v>120</v>
      </c>
      <c r="I126" s="11" t="s">
        <v>413</v>
      </c>
      <c r="J126" s="11" t="s">
        <v>414</v>
      </c>
      <c r="K126" s="11" t="s">
        <v>210</v>
      </c>
      <c r="L126" s="11" t="s">
        <v>87</v>
      </c>
      <c r="M126" s="11" t="s">
        <v>88</v>
      </c>
      <c r="N126" s="12" t="n">
        <v>1</v>
      </c>
      <c r="O126" s="13" t="s">
        <v>8</v>
      </c>
      <c r="P126" s="13"/>
    </row>
    <row r="127" customFormat="false" ht="23.85" hidden="false" customHeight="false" outlineLevel="0" collapsed="false">
      <c r="A127" s="11" t="n">
        <v>123</v>
      </c>
      <c r="B127" s="11" t="s">
        <v>417</v>
      </c>
      <c r="C127" s="11" t="s">
        <v>418</v>
      </c>
      <c r="D127" s="11" t="s">
        <v>71</v>
      </c>
      <c r="E127" s="11" t="n">
        <v>961</v>
      </c>
      <c r="F127" s="11" t="n">
        <v>8</v>
      </c>
      <c r="G127" s="11" t="n">
        <v>1</v>
      </c>
      <c r="H127" s="11" t="s">
        <v>242</v>
      </c>
      <c r="I127" s="11" t="s">
        <v>248</v>
      </c>
      <c r="J127" s="11" t="s">
        <v>249</v>
      </c>
      <c r="K127" s="11" t="s">
        <v>210</v>
      </c>
      <c r="L127" s="11" t="s">
        <v>87</v>
      </c>
      <c r="M127" s="11" t="s">
        <v>88</v>
      </c>
      <c r="N127" s="12" t="n">
        <v>1</v>
      </c>
      <c r="O127" s="13" t="s">
        <v>8</v>
      </c>
      <c r="P127" s="13"/>
    </row>
    <row r="128" customFormat="false" ht="23.85" hidden="false" customHeight="false" outlineLevel="0" collapsed="false">
      <c r="A128" s="11" t="n">
        <v>124</v>
      </c>
      <c r="B128" s="11" t="s">
        <v>419</v>
      </c>
      <c r="C128" s="11" t="s">
        <v>420</v>
      </c>
      <c r="D128" s="11" t="s">
        <v>71</v>
      </c>
      <c r="E128" s="11" t="n">
        <v>109</v>
      </c>
      <c r="F128" s="11" t="n">
        <v>3</v>
      </c>
      <c r="G128" s="11" t="n">
        <v>0</v>
      </c>
      <c r="H128" s="11" t="s">
        <v>159</v>
      </c>
      <c r="I128" s="11" t="s">
        <v>331</v>
      </c>
      <c r="J128" s="11" t="s">
        <v>332</v>
      </c>
      <c r="K128" s="11" t="s">
        <v>55</v>
      </c>
      <c r="L128" s="11" t="s">
        <v>87</v>
      </c>
      <c r="M128" s="11" t="s">
        <v>88</v>
      </c>
      <c r="N128" s="12" t="n">
        <v>1</v>
      </c>
      <c r="O128" s="13" t="s">
        <v>8</v>
      </c>
      <c r="P128" s="13"/>
    </row>
    <row r="129" customFormat="false" ht="23.85" hidden="false" customHeight="false" outlineLevel="0" collapsed="false">
      <c r="A129" s="11" t="n">
        <v>125</v>
      </c>
      <c r="B129" s="11" t="s">
        <v>421</v>
      </c>
      <c r="C129" s="11" t="s">
        <v>422</v>
      </c>
      <c r="D129" s="11" t="s">
        <v>51</v>
      </c>
      <c r="E129" s="11" t="n">
        <v>198</v>
      </c>
      <c r="F129" s="11" t="n">
        <v>4</v>
      </c>
      <c r="G129" s="11" t="n">
        <v>0</v>
      </c>
      <c r="H129" s="11" t="s">
        <v>120</v>
      </c>
      <c r="I129" s="11" t="s">
        <v>423</v>
      </c>
      <c r="J129" s="11" t="s">
        <v>424</v>
      </c>
      <c r="K129" s="11" t="s">
        <v>210</v>
      </c>
      <c r="L129" s="11" t="s">
        <v>425</v>
      </c>
      <c r="M129" s="11" t="s">
        <v>88</v>
      </c>
      <c r="N129" s="12" t="n">
        <v>1</v>
      </c>
      <c r="O129" s="13" t="s">
        <v>8</v>
      </c>
      <c r="P129" s="13"/>
    </row>
    <row r="130" customFormat="false" ht="23.85" hidden="false" customHeight="false" outlineLevel="0" collapsed="false">
      <c r="A130" s="11" t="n">
        <v>126</v>
      </c>
      <c r="B130" s="11" t="s">
        <v>426</v>
      </c>
      <c r="C130" s="11" t="s">
        <v>427</v>
      </c>
      <c r="D130" s="11" t="s">
        <v>71</v>
      </c>
      <c r="E130" s="11" t="n">
        <v>766</v>
      </c>
      <c r="F130" s="11" t="n">
        <v>1</v>
      </c>
      <c r="G130" s="11" t="n">
        <v>0</v>
      </c>
      <c r="H130" s="11" t="s">
        <v>120</v>
      </c>
      <c r="I130" s="11" t="s">
        <v>340</v>
      </c>
      <c r="J130" s="11" t="s">
        <v>341</v>
      </c>
      <c r="K130" s="11" t="s">
        <v>55</v>
      </c>
      <c r="L130" s="11" t="s">
        <v>87</v>
      </c>
      <c r="M130" s="11" t="s">
        <v>88</v>
      </c>
      <c r="N130" s="12" t="n">
        <v>1</v>
      </c>
      <c r="O130" s="13" t="s">
        <v>8</v>
      </c>
      <c r="P130" s="13"/>
    </row>
    <row r="131" customFormat="false" ht="23.85" hidden="false" customHeight="false" outlineLevel="0" collapsed="false">
      <c r="A131" s="11" t="n">
        <v>127</v>
      </c>
      <c r="B131" s="11" t="s">
        <v>428</v>
      </c>
      <c r="C131" s="11" t="s">
        <v>429</v>
      </c>
      <c r="D131" s="11" t="s">
        <v>71</v>
      </c>
      <c r="E131" s="11" t="n">
        <v>2158</v>
      </c>
      <c r="F131" s="11" t="n">
        <v>38</v>
      </c>
      <c r="G131" s="11" t="n">
        <v>1</v>
      </c>
      <c r="H131" s="11" t="s">
        <v>120</v>
      </c>
      <c r="I131" s="11" t="s">
        <v>413</v>
      </c>
      <c r="J131" s="11" t="s">
        <v>414</v>
      </c>
      <c r="K131" s="11" t="s">
        <v>210</v>
      </c>
      <c r="L131" s="11" t="s">
        <v>87</v>
      </c>
      <c r="M131" s="11" t="s">
        <v>88</v>
      </c>
      <c r="N131" s="12" t="n">
        <v>1</v>
      </c>
      <c r="O131" s="13" t="s">
        <v>8</v>
      </c>
      <c r="P131" s="13"/>
    </row>
    <row r="132" customFormat="false" ht="23.85" hidden="false" customHeight="false" outlineLevel="0" collapsed="false">
      <c r="A132" s="11" t="n">
        <v>128</v>
      </c>
      <c r="B132" s="11" t="s">
        <v>430</v>
      </c>
      <c r="C132" s="11" t="s">
        <v>431</v>
      </c>
      <c r="D132" s="11" t="s">
        <v>71</v>
      </c>
      <c r="E132" s="11" t="n">
        <v>78</v>
      </c>
      <c r="F132" s="11" t="n">
        <v>3</v>
      </c>
      <c r="G132" s="11" t="n">
        <v>0</v>
      </c>
      <c r="H132" s="11" t="s">
        <v>120</v>
      </c>
      <c r="I132" s="11" t="s">
        <v>340</v>
      </c>
      <c r="J132" s="11" t="s">
        <v>341</v>
      </c>
      <c r="K132" s="11" t="s">
        <v>55</v>
      </c>
      <c r="L132" s="11" t="s">
        <v>87</v>
      </c>
      <c r="M132" s="11" t="s">
        <v>88</v>
      </c>
      <c r="N132" s="12" t="n">
        <v>1</v>
      </c>
      <c r="O132" s="13" t="s">
        <v>8</v>
      </c>
      <c r="P132" s="13"/>
    </row>
    <row r="133" customFormat="false" ht="23.85" hidden="false" customHeight="false" outlineLevel="0" collapsed="false">
      <c r="A133" s="11" t="n">
        <v>129</v>
      </c>
      <c r="B133" s="11" t="s">
        <v>432</v>
      </c>
      <c r="C133" s="11" t="s">
        <v>433</v>
      </c>
      <c r="D133" s="11" t="s">
        <v>71</v>
      </c>
      <c r="E133" s="11" t="n">
        <v>85</v>
      </c>
      <c r="F133" s="11" t="n">
        <v>4</v>
      </c>
      <c r="G133" s="11" t="n">
        <v>0</v>
      </c>
      <c r="H133" s="11" t="s">
        <v>120</v>
      </c>
      <c r="I133" s="11" t="s">
        <v>340</v>
      </c>
      <c r="J133" s="11" t="s">
        <v>341</v>
      </c>
      <c r="K133" s="11" t="s">
        <v>55</v>
      </c>
      <c r="L133" s="11" t="s">
        <v>87</v>
      </c>
      <c r="M133" s="11" t="s">
        <v>88</v>
      </c>
      <c r="N133" s="12" t="n">
        <v>1</v>
      </c>
      <c r="O133" s="13" t="s">
        <v>8</v>
      </c>
      <c r="P133" s="13"/>
    </row>
    <row r="134" customFormat="false" ht="23.85" hidden="false" customHeight="false" outlineLevel="0" collapsed="false">
      <c r="A134" s="11" t="n">
        <v>130</v>
      </c>
      <c r="B134" s="11" t="s">
        <v>434</v>
      </c>
      <c r="C134" s="11" t="s">
        <v>435</v>
      </c>
      <c r="D134" s="11" t="s">
        <v>71</v>
      </c>
      <c r="E134" s="11" t="n">
        <v>100</v>
      </c>
      <c r="F134" s="11" t="n">
        <v>2</v>
      </c>
      <c r="G134" s="11" t="n">
        <v>0</v>
      </c>
      <c r="H134" s="11" t="s">
        <v>120</v>
      </c>
      <c r="I134" s="11" t="s">
        <v>436</v>
      </c>
      <c r="J134" s="11" t="s">
        <v>437</v>
      </c>
      <c r="K134" s="11" t="s">
        <v>55</v>
      </c>
      <c r="L134" s="11" t="s">
        <v>224</v>
      </c>
      <c r="M134" s="11" t="s">
        <v>88</v>
      </c>
      <c r="N134" s="12" t="n">
        <v>1</v>
      </c>
      <c r="O134" s="13" t="s">
        <v>8</v>
      </c>
      <c r="P134" s="13"/>
    </row>
    <row r="135" customFormat="false" ht="23.85" hidden="false" customHeight="false" outlineLevel="0" collapsed="false">
      <c r="A135" s="11" t="n">
        <v>131</v>
      </c>
      <c r="B135" s="11" t="s">
        <v>438</v>
      </c>
      <c r="C135" s="11" t="s">
        <v>439</v>
      </c>
      <c r="D135" s="11" t="s">
        <v>71</v>
      </c>
      <c r="E135" s="11" t="n">
        <v>204</v>
      </c>
      <c r="F135" s="11" t="n">
        <v>1</v>
      </c>
      <c r="G135" s="11" t="n">
        <v>0</v>
      </c>
      <c r="H135" s="11" t="s">
        <v>120</v>
      </c>
      <c r="I135" s="11" t="s">
        <v>436</v>
      </c>
      <c r="J135" s="11" t="s">
        <v>437</v>
      </c>
      <c r="K135" s="11" t="s">
        <v>55</v>
      </c>
      <c r="L135" s="11" t="s">
        <v>224</v>
      </c>
      <c r="M135" s="11" t="s">
        <v>88</v>
      </c>
      <c r="N135" s="12" t="n">
        <v>1</v>
      </c>
      <c r="O135" s="13" t="s">
        <v>8</v>
      </c>
      <c r="P135" s="13"/>
    </row>
    <row r="136" customFormat="false" ht="23.85" hidden="false" customHeight="false" outlineLevel="0" collapsed="false">
      <c r="A136" s="11" t="n">
        <v>132</v>
      </c>
      <c r="B136" s="11" t="s">
        <v>440</v>
      </c>
      <c r="C136" s="11" t="s">
        <v>441</v>
      </c>
      <c r="D136" s="11" t="s">
        <v>71</v>
      </c>
      <c r="E136" s="11" t="n">
        <v>446</v>
      </c>
      <c r="F136" s="11" t="n">
        <v>9</v>
      </c>
      <c r="G136" s="11" t="n">
        <v>0</v>
      </c>
      <c r="H136" s="11" t="s">
        <v>236</v>
      </c>
      <c r="I136" s="11" t="s">
        <v>442</v>
      </c>
      <c r="J136" s="11" t="s">
        <v>443</v>
      </c>
      <c r="K136" s="11" t="s">
        <v>55</v>
      </c>
      <c r="L136" s="11" t="s">
        <v>444</v>
      </c>
      <c r="M136" s="11" t="s">
        <v>88</v>
      </c>
      <c r="N136" s="12" t="n">
        <v>1</v>
      </c>
      <c r="O136" s="13" t="s">
        <v>8</v>
      </c>
      <c r="P136" s="13"/>
    </row>
    <row r="137" customFormat="false" ht="15" hidden="false" customHeight="false" outlineLevel="0" collapsed="false">
      <c r="A137" s="11" t="n">
        <v>133</v>
      </c>
      <c r="B137" s="11" t="s">
        <v>445</v>
      </c>
      <c r="C137" s="11" t="s">
        <v>446</v>
      </c>
      <c r="D137" s="11" t="s">
        <v>51</v>
      </c>
      <c r="E137" s="11" t="n">
        <v>0</v>
      </c>
      <c r="F137" s="11" t="n">
        <v>0</v>
      </c>
      <c r="G137" s="11" t="n">
        <v>0</v>
      </c>
      <c r="H137" s="11" t="s">
        <v>57</v>
      </c>
      <c r="I137" s="11" t="s">
        <v>60</v>
      </c>
      <c r="J137" s="11" t="s">
        <v>57</v>
      </c>
      <c r="K137" s="11" t="s">
        <v>57</v>
      </c>
      <c r="L137" s="11" t="s">
        <v>61</v>
      </c>
      <c r="M137" s="11" t="s">
        <v>62</v>
      </c>
      <c r="N137" s="12" t="n">
        <v>0</v>
      </c>
      <c r="O137" s="13" t="s">
        <v>8</v>
      </c>
      <c r="P137" s="13"/>
    </row>
    <row r="138" customFormat="false" ht="15" hidden="false" customHeight="false" outlineLevel="0" collapsed="false">
      <c r="A138" s="11" t="n">
        <v>134</v>
      </c>
      <c r="B138" s="11" t="s">
        <v>447</v>
      </c>
      <c r="C138" s="11" t="s">
        <v>448</v>
      </c>
      <c r="D138" s="11" t="s">
        <v>71</v>
      </c>
      <c r="E138" s="11" t="n">
        <v>490</v>
      </c>
      <c r="F138" s="11" t="n">
        <v>5</v>
      </c>
      <c r="G138" s="11" t="n">
        <v>0</v>
      </c>
      <c r="H138" s="11" t="s">
        <v>84</v>
      </c>
      <c r="I138" s="11" t="s">
        <v>99</v>
      </c>
      <c r="J138" s="11" t="s">
        <v>100</v>
      </c>
      <c r="K138" s="11" t="s">
        <v>55</v>
      </c>
      <c r="L138" s="11" t="s">
        <v>87</v>
      </c>
      <c r="M138" s="11" t="s">
        <v>104</v>
      </c>
      <c r="N138" s="12" t="n">
        <v>2</v>
      </c>
      <c r="O138" s="13" t="s">
        <v>8</v>
      </c>
      <c r="P138" s="13"/>
    </row>
    <row r="139" customFormat="false" ht="23.85" hidden="false" customHeight="false" outlineLevel="0" collapsed="false">
      <c r="A139" s="11" t="n">
        <v>135</v>
      </c>
      <c r="B139" s="11" t="s">
        <v>449</v>
      </c>
      <c r="C139" s="11" t="s">
        <v>450</v>
      </c>
      <c r="D139" s="11" t="s">
        <v>71</v>
      </c>
      <c r="E139" s="11" t="n">
        <v>117</v>
      </c>
      <c r="F139" s="11" t="n">
        <v>1</v>
      </c>
      <c r="G139" s="11" t="n">
        <v>0</v>
      </c>
      <c r="H139" s="11" t="s">
        <v>84</v>
      </c>
      <c r="I139" s="11" t="s">
        <v>85</v>
      </c>
      <c r="J139" s="11" t="s">
        <v>86</v>
      </c>
      <c r="K139" s="11" t="s">
        <v>55</v>
      </c>
      <c r="L139" s="11" t="s">
        <v>87</v>
      </c>
      <c r="M139" s="11" t="s">
        <v>88</v>
      </c>
      <c r="N139" s="12" t="n">
        <v>1</v>
      </c>
      <c r="O139" s="13" t="s">
        <v>8</v>
      </c>
      <c r="P139" s="13"/>
    </row>
    <row r="140" customFormat="false" ht="23.85" hidden="false" customHeight="false" outlineLevel="0" collapsed="false">
      <c r="A140" s="11" t="n">
        <v>136</v>
      </c>
      <c r="B140" s="11" t="s">
        <v>451</v>
      </c>
      <c r="C140" s="11" t="s">
        <v>452</v>
      </c>
      <c r="D140" s="11" t="s">
        <v>71</v>
      </c>
      <c r="E140" s="11" t="n">
        <v>856</v>
      </c>
      <c r="F140" s="11" t="n">
        <v>4</v>
      </c>
      <c r="G140" s="11" t="n">
        <v>0</v>
      </c>
      <c r="H140" s="11" t="s">
        <v>84</v>
      </c>
      <c r="I140" s="11" t="s">
        <v>91</v>
      </c>
      <c r="J140" s="11" t="s">
        <v>92</v>
      </c>
      <c r="K140" s="11" t="s">
        <v>55</v>
      </c>
      <c r="L140" s="11" t="s">
        <v>117</v>
      </c>
      <c r="M140" s="11" t="s">
        <v>88</v>
      </c>
      <c r="N140" s="12" t="n">
        <v>1</v>
      </c>
      <c r="O140" s="13" t="s">
        <v>8</v>
      </c>
      <c r="P140" s="13"/>
    </row>
    <row r="141" customFormat="false" ht="23.85" hidden="false" customHeight="false" outlineLevel="0" collapsed="false">
      <c r="A141" s="11" t="n">
        <v>137</v>
      </c>
      <c r="B141" s="11" t="s">
        <v>453</v>
      </c>
      <c r="C141" s="11" t="s">
        <v>454</v>
      </c>
      <c r="D141" s="11" t="s">
        <v>71</v>
      </c>
      <c r="E141" s="11" t="n">
        <v>588</v>
      </c>
      <c r="F141" s="11" t="n">
        <v>16</v>
      </c>
      <c r="G141" s="11" t="n">
        <v>0</v>
      </c>
      <c r="H141" s="11" t="s">
        <v>84</v>
      </c>
      <c r="I141" s="11" t="s">
        <v>85</v>
      </c>
      <c r="J141" s="11" t="s">
        <v>86</v>
      </c>
      <c r="K141" s="11" t="s">
        <v>55</v>
      </c>
      <c r="L141" s="11" t="s">
        <v>87</v>
      </c>
      <c r="M141" s="11" t="s">
        <v>88</v>
      </c>
      <c r="N141" s="12" t="n">
        <v>1</v>
      </c>
      <c r="O141" s="13" t="s">
        <v>8</v>
      </c>
      <c r="P141" s="13"/>
    </row>
    <row r="142" customFormat="false" ht="23.85" hidden="false" customHeight="false" outlineLevel="0" collapsed="false">
      <c r="A142" s="11" t="n">
        <v>138</v>
      </c>
      <c r="B142" s="11" t="s">
        <v>455</v>
      </c>
      <c r="C142" s="11" t="s">
        <v>456</v>
      </c>
      <c r="D142" s="11" t="s">
        <v>71</v>
      </c>
      <c r="E142" s="11" t="n">
        <v>1226</v>
      </c>
      <c r="F142" s="11" t="n">
        <v>9</v>
      </c>
      <c r="G142" s="11" t="n">
        <v>8</v>
      </c>
      <c r="H142" s="11" t="s">
        <v>84</v>
      </c>
      <c r="I142" s="11" t="s">
        <v>141</v>
      </c>
      <c r="J142" s="11" t="s">
        <v>142</v>
      </c>
      <c r="K142" s="11" t="s">
        <v>55</v>
      </c>
      <c r="L142" s="11" t="s">
        <v>87</v>
      </c>
      <c r="M142" s="11" t="s">
        <v>88</v>
      </c>
      <c r="N142" s="12" t="n">
        <v>1</v>
      </c>
      <c r="O142" s="13" t="s">
        <v>8</v>
      </c>
      <c r="P142" s="13"/>
    </row>
    <row r="143" customFormat="false" ht="15" hidden="false" customHeight="false" outlineLevel="0" collapsed="false">
      <c r="A143" s="11" t="n">
        <v>139</v>
      </c>
      <c r="B143" s="11" t="s">
        <v>457</v>
      </c>
      <c r="C143" s="11" t="s">
        <v>458</v>
      </c>
      <c r="D143" s="11" t="s">
        <v>71</v>
      </c>
      <c r="E143" s="11" t="n">
        <v>695</v>
      </c>
      <c r="F143" s="11" t="n">
        <v>6</v>
      </c>
      <c r="G143" s="11" t="n">
        <v>3</v>
      </c>
      <c r="H143" s="11" t="s">
        <v>84</v>
      </c>
      <c r="I143" s="11" t="s">
        <v>176</v>
      </c>
      <c r="J143" s="11" t="s">
        <v>177</v>
      </c>
      <c r="K143" s="11" t="s">
        <v>55</v>
      </c>
      <c r="L143" s="11" t="s">
        <v>87</v>
      </c>
      <c r="M143" s="11" t="s">
        <v>104</v>
      </c>
      <c r="N143" s="12" t="n">
        <v>2</v>
      </c>
      <c r="O143" s="13" t="s">
        <v>8</v>
      </c>
      <c r="P143" s="13"/>
    </row>
    <row r="144" customFormat="false" ht="23.85" hidden="false" customHeight="false" outlineLevel="0" collapsed="false">
      <c r="A144" s="11" t="n">
        <v>140</v>
      </c>
      <c r="B144" s="11" t="s">
        <v>459</v>
      </c>
      <c r="C144" s="11" t="s">
        <v>460</v>
      </c>
      <c r="D144" s="11" t="s">
        <v>71</v>
      </c>
      <c r="E144" s="11" t="n">
        <v>176</v>
      </c>
      <c r="F144" s="11" t="n">
        <v>2</v>
      </c>
      <c r="G144" s="11" t="n">
        <v>1</v>
      </c>
      <c r="H144" s="11" t="s">
        <v>84</v>
      </c>
      <c r="I144" s="11" t="s">
        <v>136</v>
      </c>
      <c r="J144" s="11" t="s">
        <v>137</v>
      </c>
      <c r="K144" s="11" t="s">
        <v>55</v>
      </c>
      <c r="L144" s="11" t="s">
        <v>138</v>
      </c>
      <c r="M144" s="11" t="s">
        <v>88</v>
      </c>
      <c r="N144" s="12" t="n">
        <v>1</v>
      </c>
      <c r="O144" s="13" t="s">
        <v>8</v>
      </c>
      <c r="P144" s="13"/>
    </row>
    <row r="145" customFormat="false" ht="23.85" hidden="false" customHeight="false" outlineLevel="0" collapsed="false">
      <c r="A145" s="11" t="n">
        <v>141</v>
      </c>
      <c r="B145" s="11" t="s">
        <v>461</v>
      </c>
      <c r="C145" s="11" t="s">
        <v>462</v>
      </c>
      <c r="D145" s="11" t="s">
        <v>71</v>
      </c>
      <c r="E145" s="11" t="n">
        <v>336</v>
      </c>
      <c r="F145" s="11" t="n">
        <v>1</v>
      </c>
      <c r="G145" s="11" t="n">
        <v>1</v>
      </c>
      <c r="H145" s="11" t="s">
        <v>84</v>
      </c>
      <c r="I145" s="11" t="s">
        <v>176</v>
      </c>
      <c r="J145" s="11" t="s">
        <v>177</v>
      </c>
      <c r="K145" s="11" t="s">
        <v>55</v>
      </c>
      <c r="L145" s="11" t="s">
        <v>87</v>
      </c>
      <c r="M145" s="11" t="s">
        <v>104</v>
      </c>
      <c r="N145" s="12" t="n">
        <v>1</v>
      </c>
      <c r="O145" s="13" t="s">
        <v>8</v>
      </c>
      <c r="P145" s="13"/>
    </row>
    <row r="146" customFormat="false" ht="23.85" hidden="false" customHeight="false" outlineLevel="0" collapsed="false">
      <c r="A146" s="11" t="n">
        <v>142</v>
      </c>
      <c r="B146" s="11" t="s">
        <v>463</v>
      </c>
      <c r="C146" s="11" t="s">
        <v>464</v>
      </c>
      <c r="D146" s="11" t="s">
        <v>71</v>
      </c>
      <c r="E146" s="11" t="n">
        <v>669</v>
      </c>
      <c r="F146" s="11" t="n">
        <v>0</v>
      </c>
      <c r="G146" s="11" t="n">
        <v>0</v>
      </c>
      <c r="H146" s="11" t="s">
        <v>159</v>
      </c>
      <c r="I146" s="11" t="s">
        <v>160</v>
      </c>
      <c r="J146" s="11" t="s">
        <v>161</v>
      </c>
      <c r="K146" s="11" t="s">
        <v>55</v>
      </c>
      <c r="L146" s="11" t="s">
        <v>465</v>
      </c>
      <c r="M146" s="11" t="s">
        <v>57</v>
      </c>
      <c r="N146" s="12" t="n">
        <v>0</v>
      </c>
      <c r="O146" s="13" t="s">
        <v>8</v>
      </c>
      <c r="P146" s="13"/>
    </row>
    <row r="147" customFormat="false" ht="23.85" hidden="false" customHeight="false" outlineLevel="0" collapsed="false">
      <c r="A147" s="11" t="n">
        <v>143</v>
      </c>
      <c r="B147" s="11" t="s">
        <v>466</v>
      </c>
      <c r="C147" s="11" t="s">
        <v>467</v>
      </c>
      <c r="D147" s="11" t="s">
        <v>71</v>
      </c>
      <c r="E147" s="11" t="n">
        <v>2672</v>
      </c>
      <c r="F147" s="11" t="n">
        <v>38</v>
      </c>
      <c r="G147" s="11" t="n">
        <v>7</v>
      </c>
      <c r="H147" s="11" t="s">
        <v>84</v>
      </c>
      <c r="I147" s="11" t="s">
        <v>149</v>
      </c>
      <c r="J147" s="11" t="s">
        <v>150</v>
      </c>
      <c r="K147" s="11" t="s">
        <v>55</v>
      </c>
      <c r="L147" s="11" t="s">
        <v>117</v>
      </c>
      <c r="M147" s="11" t="s">
        <v>88</v>
      </c>
      <c r="N147" s="12" t="n">
        <v>1</v>
      </c>
      <c r="O147" s="13" t="s">
        <v>8</v>
      </c>
      <c r="P147" s="13"/>
    </row>
    <row r="148" customFormat="false" ht="23.85" hidden="false" customHeight="false" outlineLevel="0" collapsed="false">
      <c r="A148" s="11" t="n">
        <v>144</v>
      </c>
      <c r="B148" s="11" t="s">
        <v>468</v>
      </c>
      <c r="C148" s="11" t="s">
        <v>469</v>
      </c>
      <c r="D148" s="11" t="s">
        <v>71</v>
      </c>
      <c r="E148" s="11" t="n">
        <v>459</v>
      </c>
      <c r="F148" s="11" t="n">
        <v>4</v>
      </c>
      <c r="G148" s="11" t="n">
        <v>1</v>
      </c>
      <c r="H148" s="11" t="s">
        <v>84</v>
      </c>
      <c r="I148" s="11" t="s">
        <v>141</v>
      </c>
      <c r="J148" s="11" t="s">
        <v>142</v>
      </c>
      <c r="K148" s="11" t="s">
        <v>55</v>
      </c>
      <c r="L148" s="11" t="s">
        <v>87</v>
      </c>
      <c r="M148" s="11" t="s">
        <v>88</v>
      </c>
      <c r="N148" s="12" t="n">
        <v>1</v>
      </c>
      <c r="O148" s="13" t="s">
        <v>8</v>
      </c>
      <c r="P148" s="13"/>
    </row>
    <row r="149" customFormat="false" ht="23.85" hidden="false" customHeight="false" outlineLevel="0" collapsed="false">
      <c r="A149" s="11" t="n">
        <v>145</v>
      </c>
      <c r="B149" s="11" t="s">
        <v>470</v>
      </c>
      <c r="C149" s="11" t="s">
        <v>471</v>
      </c>
      <c r="D149" s="11" t="s">
        <v>71</v>
      </c>
      <c r="E149" s="11" t="n">
        <v>374</v>
      </c>
      <c r="F149" s="11" t="n">
        <v>1</v>
      </c>
      <c r="G149" s="11" t="n">
        <v>1</v>
      </c>
      <c r="H149" s="11" t="s">
        <v>159</v>
      </c>
      <c r="I149" s="11" t="s">
        <v>472</v>
      </c>
      <c r="J149" s="11" t="s">
        <v>473</v>
      </c>
      <c r="K149" s="11" t="s">
        <v>55</v>
      </c>
      <c r="L149" s="11" t="s">
        <v>474</v>
      </c>
      <c r="M149" s="11" t="s">
        <v>88</v>
      </c>
      <c r="N149" s="12" t="n">
        <v>1</v>
      </c>
      <c r="O149" s="13" t="s">
        <v>8</v>
      </c>
      <c r="P149" s="13"/>
    </row>
    <row r="150" customFormat="false" ht="15" hidden="false" customHeight="false" outlineLevel="0" collapsed="false">
      <c r="A150" s="11" t="n">
        <v>146</v>
      </c>
      <c r="B150" s="11" t="s">
        <v>475</v>
      </c>
      <c r="C150" s="11" t="s">
        <v>476</v>
      </c>
      <c r="D150" s="11" t="s">
        <v>71</v>
      </c>
      <c r="E150" s="11" t="n">
        <v>493</v>
      </c>
      <c r="F150" s="11" t="n">
        <v>9</v>
      </c>
      <c r="G150" s="11" t="n">
        <v>0</v>
      </c>
      <c r="H150" s="11" t="s">
        <v>84</v>
      </c>
      <c r="I150" s="11" t="s">
        <v>200</v>
      </c>
      <c r="J150" s="11" t="s">
        <v>201</v>
      </c>
      <c r="K150" s="11" t="s">
        <v>55</v>
      </c>
      <c r="L150" s="11" t="s">
        <v>87</v>
      </c>
      <c r="M150" s="11" t="s">
        <v>104</v>
      </c>
      <c r="N150" s="12" t="n">
        <v>2</v>
      </c>
      <c r="O150" s="13" t="s">
        <v>8</v>
      </c>
      <c r="P150" s="13"/>
    </row>
    <row r="151" customFormat="false" ht="23.85" hidden="false" customHeight="false" outlineLevel="0" collapsed="false">
      <c r="A151" s="11" t="n">
        <v>147</v>
      </c>
      <c r="B151" s="11" t="s">
        <v>477</v>
      </c>
      <c r="C151" s="11" t="s">
        <v>478</v>
      </c>
      <c r="D151" s="11" t="s">
        <v>71</v>
      </c>
      <c r="E151" s="11" t="n">
        <v>186</v>
      </c>
      <c r="F151" s="11" t="n">
        <v>1</v>
      </c>
      <c r="G151" s="11" t="n">
        <v>0</v>
      </c>
      <c r="H151" s="11" t="s">
        <v>84</v>
      </c>
      <c r="I151" s="11" t="s">
        <v>189</v>
      </c>
      <c r="J151" s="11" t="s">
        <v>190</v>
      </c>
      <c r="K151" s="11" t="s">
        <v>55</v>
      </c>
      <c r="L151" s="11" t="s">
        <v>87</v>
      </c>
      <c r="M151" s="11" t="s">
        <v>88</v>
      </c>
      <c r="N151" s="12" t="n">
        <v>1</v>
      </c>
      <c r="O151" s="13" t="s">
        <v>8</v>
      </c>
      <c r="P151" s="13"/>
    </row>
    <row r="152" customFormat="false" ht="23.85" hidden="false" customHeight="false" outlineLevel="0" collapsed="false">
      <c r="A152" s="11" t="n">
        <v>148</v>
      </c>
      <c r="B152" s="11" t="s">
        <v>479</v>
      </c>
      <c r="C152" s="11" t="s">
        <v>480</v>
      </c>
      <c r="D152" s="11" t="s">
        <v>71</v>
      </c>
      <c r="E152" s="11" t="n">
        <v>1928</v>
      </c>
      <c r="F152" s="11" t="n">
        <v>22</v>
      </c>
      <c r="G152" s="11" t="n">
        <v>4</v>
      </c>
      <c r="H152" s="11" t="s">
        <v>84</v>
      </c>
      <c r="I152" s="11" t="s">
        <v>193</v>
      </c>
      <c r="J152" s="11" t="s">
        <v>194</v>
      </c>
      <c r="K152" s="11" t="s">
        <v>55</v>
      </c>
      <c r="L152" s="11" t="s">
        <v>117</v>
      </c>
      <c r="M152" s="11" t="s">
        <v>88</v>
      </c>
      <c r="N152" s="12" t="n">
        <v>1</v>
      </c>
      <c r="O152" s="13" t="s">
        <v>8</v>
      </c>
      <c r="P152" s="13"/>
    </row>
    <row r="153" customFormat="false" ht="23.85" hidden="false" customHeight="false" outlineLevel="0" collapsed="false">
      <c r="A153" s="11" t="n">
        <v>149</v>
      </c>
      <c r="B153" s="11" t="s">
        <v>481</v>
      </c>
      <c r="C153" s="11" t="s">
        <v>482</v>
      </c>
      <c r="D153" s="11" t="s">
        <v>71</v>
      </c>
      <c r="E153" s="11" t="n">
        <v>262</v>
      </c>
      <c r="F153" s="11" t="n">
        <v>7</v>
      </c>
      <c r="G153" s="11" t="n">
        <v>0</v>
      </c>
      <c r="H153" s="11" t="s">
        <v>84</v>
      </c>
      <c r="I153" s="11" t="s">
        <v>189</v>
      </c>
      <c r="J153" s="11" t="s">
        <v>190</v>
      </c>
      <c r="K153" s="11" t="s">
        <v>55</v>
      </c>
      <c r="L153" s="11" t="s">
        <v>87</v>
      </c>
      <c r="M153" s="11" t="s">
        <v>88</v>
      </c>
      <c r="N153" s="12" t="n">
        <v>1</v>
      </c>
      <c r="O153" s="13" t="s">
        <v>8</v>
      </c>
      <c r="P153" s="13"/>
    </row>
    <row r="154" customFormat="false" ht="23.85" hidden="false" customHeight="false" outlineLevel="0" collapsed="false">
      <c r="A154" s="11" t="n">
        <v>150</v>
      </c>
      <c r="B154" s="11" t="s">
        <v>483</v>
      </c>
      <c r="C154" s="11" t="s">
        <v>484</v>
      </c>
      <c r="D154" s="11" t="s">
        <v>71</v>
      </c>
      <c r="E154" s="11" t="n">
        <v>533</v>
      </c>
      <c r="F154" s="11" t="n">
        <v>8</v>
      </c>
      <c r="G154" s="11" t="n">
        <v>0</v>
      </c>
      <c r="H154" s="11" t="s">
        <v>84</v>
      </c>
      <c r="I154" s="11" t="s">
        <v>485</v>
      </c>
      <c r="J154" s="11" t="s">
        <v>486</v>
      </c>
      <c r="K154" s="11" t="s">
        <v>55</v>
      </c>
      <c r="L154" s="11" t="s">
        <v>202</v>
      </c>
      <c r="M154" s="11" t="s">
        <v>104</v>
      </c>
      <c r="N154" s="12" t="n">
        <v>2</v>
      </c>
      <c r="O154" s="13" t="s">
        <v>8</v>
      </c>
      <c r="P154" s="13"/>
    </row>
    <row r="155" customFormat="false" ht="23.85" hidden="false" customHeight="false" outlineLevel="0" collapsed="false">
      <c r="A155" s="11" t="n">
        <v>151</v>
      </c>
      <c r="B155" s="11" t="s">
        <v>487</v>
      </c>
      <c r="C155" s="11" t="s">
        <v>488</v>
      </c>
      <c r="D155" s="11" t="s">
        <v>71</v>
      </c>
      <c r="E155" s="11" t="n">
        <v>102</v>
      </c>
      <c r="F155" s="11" t="n">
        <v>2</v>
      </c>
      <c r="G155" s="11" t="n">
        <v>0</v>
      </c>
      <c r="H155" s="11" t="s">
        <v>84</v>
      </c>
      <c r="I155" s="11" t="s">
        <v>489</v>
      </c>
      <c r="J155" s="11" t="s">
        <v>490</v>
      </c>
      <c r="K155" s="11" t="s">
        <v>55</v>
      </c>
      <c r="L155" s="11" t="s">
        <v>87</v>
      </c>
      <c r="M155" s="11" t="s">
        <v>88</v>
      </c>
      <c r="N155" s="12" t="n">
        <v>1</v>
      </c>
      <c r="O155" s="13" t="s">
        <v>8</v>
      </c>
      <c r="P155" s="13"/>
    </row>
    <row r="156" customFormat="false" ht="23.85" hidden="false" customHeight="false" outlineLevel="0" collapsed="false">
      <c r="A156" s="11" t="n">
        <v>152</v>
      </c>
      <c r="B156" s="11" t="s">
        <v>491</v>
      </c>
      <c r="C156" s="11" t="s">
        <v>488</v>
      </c>
      <c r="D156" s="11" t="s">
        <v>71</v>
      </c>
      <c r="E156" s="11" t="n">
        <v>168</v>
      </c>
      <c r="F156" s="11" t="n">
        <v>1</v>
      </c>
      <c r="G156" s="11" t="n">
        <v>0</v>
      </c>
      <c r="H156" s="11" t="s">
        <v>84</v>
      </c>
      <c r="I156" s="11" t="s">
        <v>489</v>
      </c>
      <c r="J156" s="11" t="s">
        <v>490</v>
      </c>
      <c r="K156" s="11" t="s">
        <v>55</v>
      </c>
      <c r="L156" s="11" t="s">
        <v>87</v>
      </c>
      <c r="M156" s="11" t="s">
        <v>88</v>
      </c>
      <c r="N156" s="12" t="n">
        <v>1</v>
      </c>
      <c r="O156" s="13" t="s">
        <v>8</v>
      </c>
      <c r="P156" s="13"/>
    </row>
    <row r="157" customFormat="false" ht="23.85" hidden="false" customHeight="false" outlineLevel="0" collapsed="false">
      <c r="A157" s="11" t="n">
        <v>153</v>
      </c>
      <c r="B157" s="11" t="s">
        <v>492</v>
      </c>
      <c r="C157" s="11" t="s">
        <v>493</v>
      </c>
      <c r="D157" s="11" t="s">
        <v>71</v>
      </c>
      <c r="E157" s="11" t="n">
        <v>1046</v>
      </c>
      <c r="F157" s="11" t="n">
        <v>10</v>
      </c>
      <c r="G157" s="11" t="n">
        <v>1</v>
      </c>
      <c r="H157" s="11" t="s">
        <v>84</v>
      </c>
      <c r="I157" s="11" t="s">
        <v>494</v>
      </c>
      <c r="J157" s="11" t="s">
        <v>495</v>
      </c>
      <c r="K157" s="11" t="s">
        <v>55</v>
      </c>
      <c r="L157" s="11" t="s">
        <v>117</v>
      </c>
      <c r="M157" s="11" t="s">
        <v>88</v>
      </c>
      <c r="N157" s="12" t="n">
        <v>1</v>
      </c>
      <c r="O157" s="13" t="s">
        <v>8</v>
      </c>
      <c r="P157" s="13"/>
    </row>
    <row r="158" customFormat="false" ht="23.85" hidden="false" customHeight="false" outlineLevel="0" collapsed="false">
      <c r="A158" s="11" t="n">
        <v>154</v>
      </c>
      <c r="B158" s="11" t="s">
        <v>496</v>
      </c>
      <c r="C158" s="11" t="s">
        <v>497</v>
      </c>
      <c r="D158" s="11" t="s">
        <v>71</v>
      </c>
      <c r="E158" s="11" t="n">
        <v>501</v>
      </c>
      <c r="F158" s="11" t="n">
        <v>10</v>
      </c>
      <c r="G158" s="11" t="n">
        <v>1</v>
      </c>
      <c r="H158" s="11" t="s">
        <v>84</v>
      </c>
      <c r="I158" s="11" t="s">
        <v>498</v>
      </c>
      <c r="J158" s="11" t="s">
        <v>499</v>
      </c>
      <c r="K158" s="11" t="s">
        <v>55</v>
      </c>
      <c r="L158" s="11" t="s">
        <v>202</v>
      </c>
      <c r="M158" s="11" t="s">
        <v>88</v>
      </c>
      <c r="N158" s="12" t="n">
        <v>1</v>
      </c>
      <c r="O158" s="13" t="s">
        <v>8</v>
      </c>
      <c r="P158" s="13"/>
    </row>
    <row r="159" customFormat="false" ht="35.05" hidden="false" customHeight="false" outlineLevel="0" collapsed="false">
      <c r="A159" s="11" t="n">
        <v>155</v>
      </c>
      <c r="B159" s="11" t="s">
        <v>500</v>
      </c>
      <c r="C159" s="11" t="s">
        <v>501</v>
      </c>
      <c r="D159" s="11" t="s">
        <v>71</v>
      </c>
      <c r="E159" s="11" t="n">
        <v>285</v>
      </c>
      <c r="F159" s="11" t="n">
        <v>0</v>
      </c>
      <c r="G159" s="11" t="n">
        <v>0</v>
      </c>
      <c r="H159" s="11" t="s">
        <v>84</v>
      </c>
      <c r="I159" s="11" t="s">
        <v>502</v>
      </c>
      <c r="J159" s="11" t="s">
        <v>503</v>
      </c>
      <c r="K159" s="11" t="s">
        <v>504</v>
      </c>
      <c r="L159" s="11" t="s">
        <v>87</v>
      </c>
      <c r="M159" s="11" t="s">
        <v>57</v>
      </c>
      <c r="N159" s="12" t="n">
        <v>0</v>
      </c>
      <c r="O159" s="13" t="s">
        <v>8</v>
      </c>
      <c r="P159" s="13"/>
    </row>
    <row r="160" customFormat="false" ht="35.05" hidden="false" customHeight="false" outlineLevel="0" collapsed="false">
      <c r="A160" s="11" t="n">
        <v>156</v>
      </c>
      <c r="B160" s="11" t="s">
        <v>505</v>
      </c>
      <c r="C160" s="11" t="s">
        <v>506</v>
      </c>
      <c r="D160" s="11" t="s">
        <v>71</v>
      </c>
      <c r="E160" s="11" t="n">
        <v>70</v>
      </c>
      <c r="F160" s="11" t="n">
        <v>0</v>
      </c>
      <c r="G160" s="11" t="n">
        <v>0</v>
      </c>
      <c r="H160" s="11" t="s">
        <v>84</v>
      </c>
      <c r="I160" s="11" t="s">
        <v>502</v>
      </c>
      <c r="J160" s="11" t="s">
        <v>503</v>
      </c>
      <c r="K160" s="11" t="s">
        <v>504</v>
      </c>
      <c r="L160" s="11" t="s">
        <v>87</v>
      </c>
      <c r="M160" s="11" t="s">
        <v>57</v>
      </c>
      <c r="N160" s="12" t="n">
        <v>0</v>
      </c>
      <c r="O160" s="13" t="s">
        <v>8</v>
      </c>
      <c r="P160" s="13"/>
    </row>
    <row r="161" customFormat="false" ht="35.05" hidden="false" customHeight="false" outlineLevel="0" collapsed="false">
      <c r="A161" s="11" t="n">
        <v>157</v>
      </c>
      <c r="B161" s="11" t="s">
        <v>507</v>
      </c>
      <c r="C161" s="11" t="s">
        <v>506</v>
      </c>
      <c r="D161" s="11" t="s">
        <v>71</v>
      </c>
      <c r="E161" s="11" t="n">
        <v>199</v>
      </c>
      <c r="F161" s="11" t="n">
        <v>0</v>
      </c>
      <c r="G161" s="11" t="n">
        <v>0</v>
      </c>
      <c r="H161" s="11" t="s">
        <v>84</v>
      </c>
      <c r="I161" s="11" t="s">
        <v>502</v>
      </c>
      <c r="J161" s="11" t="s">
        <v>503</v>
      </c>
      <c r="K161" s="11" t="s">
        <v>504</v>
      </c>
      <c r="L161" s="11" t="s">
        <v>87</v>
      </c>
      <c r="M161" s="11" t="s">
        <v>57</v>
      </c>
      <c r="N161" s="12" t="n">
        <v>0</v>
      </c>
      <c r="O161" s="13" t="s">
        <v>8</v>
      </c>
      <c r="P161" s="13"/>
    </row>
    <row r="162" customFormat="false" ht="35.05" hidden="false" customHeight="false" outlineLevel="0" collapsed="false">
      <c r="A162" s="11" t="n">
        <v>158</v>
      </c>
      <c r="B162" s="11" t="s">
        <v>508</v>
      </c>
      <c r="C162" s="11" t="s">
        <v>509</v>
      </c>
      <c r="D162" s="11" t="s">
        <v>71</v>
      </c>
      <c r="E162" s="11" t="n">
        <v>532</v>
      </c>
      <c r="F162" s="11" t="n">
        <v>0</v>
      </c>
      <c r="G162" s="11" t="n">
        <v>0</v>
      </c>
      <c r="H162" s="11" t="s">
        <v>84</v>
      </c>
      <c r="I162" s="11" t="s">
        <v>510</v>
      </c>
      <c r="J162" s="11" t="s">
        <v>511</v>
      </c>
      <c r="K162" s="11" t="s">
        <v>504</v>
      </c>
      <c r="L162" s="11" t="s">
        <v>202</v>
      </c>
      <c r="M162" s="11" t="s">
        <v>57</v>
      </c>
      <c r="N162" s="12" t="n">
        <v>0</v>
      </c>
      <c r="O162" s="13" t="s">
        <v>8</v>
      </c>
      <c r="P162" s="13"/>
    </row>
    <row r="163" customFormat="false" ht="35.05" hidden="false" customHeight="false" outlineLevel="0" collapsed="false">
      <c r="A163" s="11" t="n">
        <v>159</v>
      </c>
      <c r="B163" s="11" t="s">
        <v>512</v>
      </c>
      <c r="C163" s="11" t="s">
        <v>513</v>
      </c>
      <c r="D163" s="11" t="s">
        <v>71</v>
      </c>
      <c r="E163" s="11" t="n">
        <v>287</v>
      </c>
      <c r="F163" s="11" t="n">
        <v>0</v>
      </c>
      <c r="G163" s="11" t="n">
        <v>0</v>
      </c>
      <c r="H163" s="11" t="s">
        <v>84</v>
      </c>
      <c r="I163" s="11" t="s">
        <v>502</v>
      </c>
      <c r="J163" s="11" t="s">
        <v>503</v>
      </c>
      <c r="K163" s="11" t="s">
        <v>504</v>
      </c>
      <c r="L163" s="11" t="s">
        <v>87</v>
      </c>
      <c r="M163" s="11" t="s">
        <v>57</v>
      </c>
      <c r="N163" s="12" t="n">
        <v>0</v>
      </c>
      <c r="O163" s="13" t="s">
        <v>8</v>
      </c>
      <c r="P163" s="13"/>
    </row>
    <row r="164" customFormat="false" ht="23.85" hidden="false" customHeight="false" outlineLevel="0" collapsed="false">
      <c r="A164" s="11" t="n">
        <v>160</v>
      </c>
      <c r="B164" s="11" t="s">
        <v>514</v>
      </c>
      <c r="C164" s="11" t="s">
        <v>515</v>
      </c>
      <c r="D164" s="11" t="s">
        <v>51</v>
      </c>
      <c r="E164" s="11" t="n">
        <v>531</v>
      </c>
      <c r="F164" s="11" t="n">
        <v>0</v>
      </c>
      <c r="G164" s="11" t="n">
        <v>0</v>
      </c>
      <c r="H164" s="11" t="s">
        <v>52</v>
      </c>
      <c r="I164" s="11" t="s">
        <v>516</v>
      </c>
      <c r="J164" s="11" t="s">
        <v>517</v>
      </c>
      <c r="K164" s="11" t="s">
        <v>518</v>
      </c>
      <c r="L164" s="11" t="s">
        <v>519</v>
      </c>
      <c r="M164" s="11" t="s">
        <v>57</v>
      </c>
      <c r="N164" s="12" t="n">
        <v>0</v>
      </c>
      <c r="O164" s="13" t="s">
        <v>8</v>
      </c>
      <c r="P164" s="13"/>
    </row>
    <row r="165" customFormat="false" ht="23.85" hidden="false" customHeight="false" outlineLevel="0" collapsed="false">
      <c r="A165" s="11" t="n">
        <v>161</v>
      </c>
      <c r="B165" s="11" t="s">
        <v>520</v>
      </c>
      <c r="C165" s="11" t="s">
        <v>521</v>
      </c>
      <c r="D165" s="11" t="s">
        <v>71</v>
      </c>
      <c r="E165" s="11" t="n">
        <v>714</v>
      </c>
      <c r="F165" s="11" t="n">
        <v>0</v>
      </c>
      <c r="G165" s="11" t="n">
        <v>0</v>
      </c>
      <c r="H165" s="11" t="s">
        <v>52</v>
      </c>
      <c r="I165" s="11" t="s">
        <v>522</v>
      </c>
      <c r="J165" s="11" t="s">
        <v>523</v>
      </c>
      <c r="K165" s="11" t="s">
        <v>524</v>
      </c>
      <c r="L165" s="11" t="s">
        <v>519</v>
      </c>
      <c r="M165" s="11" t="s">
        <v>57</v>
      </c>
      <c r="N165" s="12" t="n">
        <v>0</v>
      </c>
      <c r="O165" s="13" t="s">
        <v>8</v>
      </c>
      <c r="P165" s="13"/>
    </row>
    <row r="166" customFormat="false" ht="23.85" hidden="false" customHeight="false" outlineLevel="0" collapsed="false">
      <c r="A166" s="11" t="n">
        <v>162</v>
      </c>
      <c r="B166" s="11" t="s">
        <v>525</v>
      </c>
      <c r="C166" s="11" t="s">
        <v>526</v>
      </c>
      <c r="D166" s="11" t="s">
        <v>71</v>
      </c>
      <c r="E166" s="11" t="n">
        <v>142</v>
      </c>
      <c r="F166" s="11" t="n">
        <v>1</v>
      </c>
      <c r="G166" s="11" t="n">
        <v>1</v>
      </c>
      <c r="H166" s="11" t="s">
        <v>215</v>
      </c>
      <c r="I166" s="11" t="s">
        <v>527</v>
      </c>
      <c r="J166" s="11" t="s">
        <v>518</v>
      </c>
      <c r="K166" s="11" t="s">
        <v>518</v>
      </c>
      <c r="L166" s="11" t="s">
        <v>528</v>
      </c>
      <c r="M166" s="11" t="s">
        <v>217</v>
      </c>
      <c r="N166" s="12" t="n">
        <v>1</v>
      </c>
      <c r="O166" s="13" t="s">
        <v>8</v>
      </c>
      <c r="P166" s="13"/>
    </row>
    <row r="167" customFormat="false" ht="23.85" hidden="false" customHeight="false" outlineLevel="0" collapsed="false">
      <c r="A167" s="11" t="n">
        <v>163</v>
      </c>
      <c r="B167" s="11" t="s">
        <v>529</v>
      </c>
      <c r="C167" s="11" t="s">
        <v>530</v>
      </c>
      <c r="D167" s="11" t="s">
        <v>71</v>
      </c>
      <c r="E167" s="11" t="n">
        <v>1203</v>
      </c>
      <c r="F167" s="11" t="n">
        <v>2</v>
      </c>
      <c r="G167" s="11" t="n">
        <v>0</v>
      </c>
      <c r="H167" s="11" t="s">
        <v>215</v>
      </c>
      <c r="I167" s="11" t="s">
        <v>527</v>
      </c>
      <c r="J167" s="11" t="s">
        <v>518</v>
      </c>
      <c r="K167" s="11" t="s">
        <v>518</v>
      </c>
      <c r="L167" s="11" t="s">
        <v>528</v>
      </c>
      <c r="M167" s="11" t="s">
        <v>217</v>
      </c>
      <c r="N167" s="12" t="n">
        <v>1</v>
      </c>
      <c r="O167" s="13" t="s">
        <v>8</v>
      </c>
      <c r="P167" s="13"/>
    </row>
    <row r="168" customFormat="false" ht="23.85" hidden="false" customHeight="false" outlineLevel="0" collapsed="false">
      <c r="A168" s="11" t="n">
        <v>164</v>
      </c>
      <c r="B168" s="11" t="s">
        <v>531</v>
      </c>
      <c r="C168" s="11" t="s">
        <v>532</v>
      </c>
      <c r="D168" s="11" t="s">
        <v>71</v>
      </c>
      <c r="E168" s="11" t="n">
        <v>1181</v>
      </c>
      <c r="F168" s="11" t="n">
        <v>2</v>
      </c>
      <c r="G168" s="11" t="n">
        <v>0</v>
      </c>
      <c r="H168" s="11" t="s">
        <v>215</v>
      </c>
      <c r="I168" s="11" t="s">
        <v>527</v>
      </c>
      <c r="J168" s="11" t="s">
        <v>518</v>
      </c>
      <c r="K168" s="11" t="s">
        <v>518</v>
      </c>
      <c r="L168" s="11" t="s">
        <v>528</v>
      </c>
      <c r="M168" s="11" t="s">
        <v>217</v>
      </c>
      <c r="N168" s="12" t="n">
        <v>1</v>
      </c>
      <c r="O168" s="13" t="s">
        <v>8</v>
      </c>
      <c r="P168" s="13"/>
    </row>
    <row r="169" customFormat="false" ht="23.85" hidden="false" customHeight="false" outlineLevel="0" collapsed="false">
      <c r="A169" s="11" t="n">
        <v>165</v>
      </c>
      <c r="B169" s="11" t="s">
        <v>533</v>
      </c>
      <c r="C169" s="11" t="s">
        <v>534</v>
      </c>
      <c r="D169" s="11" t="s">
        <v>71</v>
      </c>
      <c r="E169" s="11" t="n">
        <v>130</v>
      </c>
      <c r="F169" s="11" t="n">
        <v>1</v>
      </c>
      <c r="G169" s="11" t="n">
        <v>1</v>
      </c>
      <c r="H169" s="11" t="s">
        <v>215</v>
      </c>
      <c r="I169" s="11" t="s">
        <v>535</v>
      </c>
      <c r="J169" s="11" t="s">
        <v>536</v>
      </c>
      <c r="K169" s="11" t="s">
        <v>536</v>
      </c>
      <c r="L169" s="11" t="s">
        <v>528</v>
      </c>
      <c r="M169" s="11" t="s">
        <v>217</v>
      </c>
      <c r="N169" s="12" t="n">
        <v>1</v>
      </c>
      <c r="O169" s="13" t="s">
        <v>8</v>
      </c>
      <c r="P169" s="13"/>
    </row>
    <row r="170" customFormat="false" ht="23.85" hidden="false" customHeight="false" outlineLevel="0" collapsed="false">
      <c r="A170" s="11" t="n">
        <v>166</v>
      </c>
      <c r="B170" s="11" t="s">
        <v>537</v>
      </c>
      <c r="C170" s="11" t="s">
        <v>538</v>
      </c>
      <c r="D170" s="11" t="s">
        <v>71</v>
      </c>
      <c r="E170" s="11" t="n">
        <v>1045</v>
      </c>
      <c r="F170" s="11" t="n">
        <v>2</v>
      </c>
      <c r="G170" s="11" t="n">
        <v>0</v>
      </c>
      <c r="H170" s="11" t="s">
        <v>215</v>
      </c>
      <c r="I170" s="11" t="s">
        <v>535</v>
      </c>
      <c r="J170" s="11" t="s">
        <v>536</v>
      </c>
      <c r="K170" s="11" t="s">
        <v>536</v>
      </c>
      <c r="L170" s="11" t="s">
        <v>528</v>
      </c>
      <c r="M170" s="11" t="s">
        <v>217</v>
      </c>
      <c r="N170" s="12" t="n">
        <v>1</v>
      </c>
      <c r="O170" s="13" t="s">
        <v>8</v>
      </c>
      <c r="P170" s="13"/>
    </row>
    <row r="171" customFormat="false" ht="23.85" hidden="false" customHeight="false" outlineLevel="0" collapsed="false">
      <c r="A171" s="11" t="n">
        <v>167</v>
      </c>
      <c r="B171" s="11" t="s">
        <v>539</v>
      </c>
      <c r="C171" s="11" t="s">
        <v>540</v>
      </c>
      <c r="D171" s="11" t="s">
        <v>51</v>
      </c>
      <c r="E171" s="11" t="n">
        <v>100</v>
      </c>
      <c r="F171" s="11" t="n">
        <v>1</v>
      </c>
      <c r="G171" s="11" t="n">
        <v>0</v>
      </c>
      <c r="H171" s="11" t="s">
        <v>215</v>
      </c>
      <c r="I171" s="11" t="s">
        <v>222</v>
      </c>
      <c r="J171" s="11" t="s">
        <v>223</v>
      </c>
      <c r="K171" s="11" t="s">
        <v>55</v>
      </c>
      <c r="L171" s="11" t="s">
        <v>224</v>
      </c>
      <c r="M171" s="11" t="s">
        <v>217</v>
      </c>
      <c r="N171" s="12" t="n">
        <v>1</v>
      </c>
      <c r="O171" s="13" t="s">
        <v>8</v>
      </c>
      <c r="P171" s="13"/>
    </row>
    <row r="172" customFormat="false" ht="23.85" hidden="false" customHeight="false" outlineLevel="0" collapsed="false">
      <c r="A172" s="11" t="n">
        <v>168</v>
      </c>
      <c r="B172" s="11" t="s">
        <v>541</v>
      </c>
      <c r="C172" s="11" t="s">
        <v>542</v>
      </c>
      <c r="D172" s="11" t="s">
        <v>71</v>
      </c>
      <c r="E172" s="11" t="n">
        <v>147</v>
      </c>
      <c r="F172" s="11" t="n">
        <v>5</v>
      </c>
      <c r="G172" s="11" t="n">
        <v>5</v>
      </c>
      <c r="H172" s="11" t="s">
        <v>215</v>
      </c>
      <c r="I172" s="11" t="s">
        <v>543</v>
      </c>
      <c r="J172" s="11" t="s">
        <v>544</v>
      </c>
      <c r="K172" s="11" t="s">
        <v>544</v>
      </c>
      <c r="L172" s="11" t="s">
        <v>528</v>
      </c>
      <c r="M172" s="11" t="s">
        <v>217</v>
      </c>
      <c r="N172" s="12" t="n">
        <v>1</v>
      </c>
      <c r="O172" s="13" t="s">
        <v>8</v>
      </c>
      <c r="P172" s="13"/>
    </row>
    <row r="173" customFormat="false" ht="23.85" hidden="false" customHeight="false" outlineLevel="0" collapsed="false">
      <c r="A173" s="11" t="n">
        <v>169</v>
      </c>
      <c r="B173" s="11" t="s">
        <v>545</v>
      </c>
      <c r="C173" s="11" t="s">
        <v>546</v>
      </c>
      <c r="D173" s="11" t="s">
        <v>51</v>
      </c>
      <c r="E173" s="11" t="n">
        <v>420</v>
      </c>
      <c r="F173" s="11" t="n">
        <v>0</v>
      </c>
      <c r="G173" s="11" t="n">
        <v>0</v>
      </c>
      <c r="H173" s="11" t="s">
        <v>52</v>
      </c>
      <c r="I173" s="11" t="s">
        <v>547</v>
      </c>
      <c r="J173" s="11" t="s">
        <v>548</v>
      </c>
      <c r="K173" s="11" t="s">
        <v>544</v>
      </c>
      <c r="L173" s="11" t="s">
        <v>549</v>
      </c>
      <c r="M173" s="11" t="s">
        <v>57</v>
      </c>
      <c r="N173" s="12" t="n">
        <v>0</v>
      </c>
      <c r="O173" s="13" t="s">
        <v>8</v>
      </c>
      <c r="P173" s="13"/>
    </row>
    <row r="174" customFormat="false" ht="23.85" hidden="false" customHeight="false" outlineLevel="0" collapsed="false">
      <c r="A174" s="11" t="n">
        <v>170</v>
      </c>
      <c r="B174" s="11" t="s">
        <v>550</v>
      </c>
      <c r="C174" s="11" t="s">
        <v>551</v>
      </c>
      <c r="D174" s="11" t="s">
        <v>71</v>
      </c>
      <c r="E174" s="11" t="n">
        <v>764</v>
      </c>
      <c r="F174" s="11" t="n">
        <v>7</v>
      </c>
      <c r="G174" s="11" t="n">
        <v>6</v>
      </c>
      <c r="H174" s="11" t="s">
        <v>215</v>
      </c>
      <c r="I174" s="11" t="s">
        <v>543</v>
      </c>
      <c r="J174" s="11" t="s">
        <v>544</v>
      </c>
      <c r="K174" s="11" t="s">
        <v>544</v>
      </c>
      <c r="L174" s="11" t="s">
        <v>528</v>
      </c>
      <c r="M174" s="11" t="s">
        <v>217</v>
      </c>
      <c r="N174" s="12" t="n">
        <v>1</v>
      </c>
      <c r="O174" s="13" t="s">
        <v>8</v>
      </c>
      <c r="P174" s="13"/>
    </row>
    <row r="175" customFormat="false" ht="23.85" hidden="false" customHeight="false" outlineLevel="0" collapsed="false">
      <c r="A175" s="11" t="n">
        <v>171</v>
      </c>
      <c r="B175" s="11" t="s">
        <v>552</v>
      </c>
      <c r="C175" s="11" t="s">
        <v>553</v>
      </c>
      <c r="D175" s="11" t="s">
        <v>71</v>
      </c>
      <c r="E175" s="11" t="n">
        <v>1176</v>
      </c>
      <c r="F175" s="11" t="n">
        <v>7</v>
      </c>
      <c r="G175" s="11" t="n">
        <v>5</v>
      </c>
      <c r="H175" s="11" t="s">
        <v>215</v>
      </c>
      <c r="I175" s="11" t="s">
        <v>543</v>
      </c>
      <c r="J175" s="11" t="s">
        <v>544</v>
      </c>
      <c r="K175" s="11" t="s">
        <v>544</v>
      </c>
      <c r="L175" s="11" t="s">
        <v>528</v>
      </c>
      <c r="M175" s="11" t="s">
        <v>217</v>
      </c>
      <c r="N175" s="12" t="n">
        <v>1</v>
      </c>
      <c r="O175" s="13" t="s">
        <v>8</v>
      </c>
      <c r="P175" s="13"/>
    </row>
    <row r="176" customFormat="false" ht="23.85" hidden="false" customHeight="false" outlineLevel="0" collapsed="false">
      <c r="A176" s="11" t="n">
        <v>172</v>
      </c>
      <c r="B176" s="11" t="s">
        <v>554</v>
      </c>
      <c r="C176" s="11" t="s">
        <v>555</v>
      </c>
      <c r="D176" s="11" t="s">
        <v>71</v>
      </c>
      <c r="E176" s="11" t="n">
        <v>783</v>
      </c>
      <c r="F176" s="11" t="n">
        <v>5</v>
      </c>
      <c r="G176" s="11" t="n">
        <v>4</v>
      </c>
      <c r="H176" s="11" t="s">
        <v>215</v>
      </c>
      <c r="I176" s="11" t="s">
        <v>543</v>
      </c>
      <c r="J176" s="11" t="s">
        <v>544</v>
      </c>
      <c r="K176" s="11" t="s">
        <v>544</v>
      </c>
      <c r="L176" s="11" t="s">
        <v>528</v>
      </c>
      <c r="M176" s="11" t="s">
        <v>217</v>
      </c>
      <c r="N176" s="12" t="n">
        <v>1</v>
      </c>
      <c r="O176" s="13" t="s">
        <v>8</v>
      </c>
      <c r="P176" s="13"/>
    </row>
    <row r="177" customFormat="false" ht="23.85" hidden="false" customHeight="false" outlineLevel="0" collapsed="false">
      <c r="A177" s="11" t="n">
        <v>173</v>
      </c>
      <c r="B177" s="11" t="s">
        <v>556</v>
      </c>
      <c r="C177" s="11" t="s">
        <v>557</v>
      </c>
      <c r="D177" s="11" t="s">
        <v>71</v>
      </c>
      <c r="E177" s="11" t="n">
        <v>901</v>
      </c>
      <c r="F177" s="11" t="n">
        <v>11</v>
      </c>
      <c r="G177" s="11" t="n">
        <v>9</v>
      </c>
      <c r="H177" s="11" t="s">
        <v>215</v>
      </c>
      <c r="I177" s="11" t="s">
        <v>543</v>
      </c>
      <c r="J177" s="11" t="s">
        <v>544</v>
      </c>
      <c r="K177" s="11" t="s">
        <v>544</v>
      </c>
      <c r="L177" s="11" t="s">
        <v>528</v>
      </c>
      <c r="M177" s="11" t="s">
        <v>217</v>
      </c>
      <c r="N177" s="12" t="n">
        <v>1</v>
      </c>
      <c r="O177" s="13" t="s">
        <v>8</v>
      </c>
      <c r="P177" s="13"/>
    </row>
    <row r="178" customFormat="false" ht="23.85" hidden="false" customHeight="false" outlineLevel="0" collapsed="false">
      <c r="A178" s="11" t="n">
        <v>174</v>
      </c>
      <c r="B178" s="11" t="s">
        <v>558</v>
      </c>
      <c r="C178" s="11" t="s">
        <v>559</v>
      </c>
      <c r="D178" s="11" t="s">
        <v>71</v>
      </c>
      <c r="E178" s="11" t="n">
        <v>317</v>
      </c>
      <c r="F178" s="11" t="n">
        <v>0</v>
      </c>
      <c r="G178" s="11" t="n">
        <v>0</v>
      </c>
      <c r="H178" s="11" t="s">
        <v>215</v>
      </c>
      <c r="I178" s="11" t="s">
        <v>543</v>
      </c>
      <c r="J178" s="11" t="s">
        <v>544</v>
      </c>
      <c r="K178" s="11" t="s">
        <v>544</v>
      </c>
      <c r="L178" s="11" t="s">
        <v>528</v>
      </c>
      <c r="M178" s="11" t="s">
        <v>57</v>
      </c>
      <c r="N178" s="12" t="n">
        <v>0</v>
      </c>
      <c r="O178" s="13" t="s">
        <v>8</v>
      </c>
      <c r="P178" s="13"/>
    </row>
    <row r="179" customFormat="false" ht="23.85" hidden="false" customHeight="false" outlineLevel="0" collapsed="false">
      <c r="A179" s="11" t="n">
        <v>175</v>
      </c>
      <c r="B179" s="11" t="s">
        <v>560</v>
      </c>
      <c r="C179" s="11" t="s">
        <v>561</v>
      </c>
      <c r="D179" s="11" t="s">
        <v>71</v>
      </c>
      <c r="E179" s="11" t="n">
        <v>722</v>
      </c>
      <c r="F179" s="11" t="n">
        <v>4</v>
      </c>
      <c r="G179" s="11" t="n">
        <v>2</v>
      </c>
      <c r="H179" s="11" t="s">
        <v>215</v>
      </c>
      <c r="I179" s="11" t="s">
        <v>216</v>
      </c>
      <c r="J179" s="11" t="s">
        <v>77</v>
      </c>
      <c r="K179" s="11" t="s">
        <v>77</v>
      </c>
      <c r="L179" s="11" t="s">
        <v>528</v>
      </c>
      <c r="M179" s="11" t="s">
        <v>217</v>
      </c>
      <c r="N179" s="12" t="n">
        <v>1</v>
      </c>
      <c r="O179" s="13" t="s">
        <v>8</v>
      </c>
      <c r="P179" s="13"/>
    </row>
    <row r="180" customFormat="false" ht="23.85" hidden="false" customHeight="false" outlineLevel="0" collapsed="false">
      <c r="A180" s="11" t="n">
        <v>176</v>
      </c>
      <c r="B180" s="11" t="s">
        <v>562</v>
      </c>
      <c r="C180" s="11" t="s">
        <v>563</v>
      </c>
      <c r="D180" s="11" t="s">
        <v>71</v>
      </c>
      <c r="E180" s="11" t="n">
        <v>1161</v>
      </c>
      <c r="F180" s="11" t="n">
        <v>4</v>
      </c>
      <c r="G180" s="11" t="n">
        <v>2</v>
      </c>
      <c r="H180" s="11" t="s">
        <v>215</v>
      </c>
      <c r="I180" s="11" t="s">
        <v>216</v>
      </c>
      <c r="J180" s="11" t="s">
        <v>77</v>
      </c>
      <c r="K180" s="11" t="s">
        <v>77</v>
      </c>
      <c r="L180" s="11" t="s">
        <v>528</v>
      </c>
      <c r="M180" s="11" t="s">
        <v>217</v>
      </c>
      <c r="N180" s="12" t="n">
        <v>1</v>
      </c>
      <c r="O180" s="13" t="s">
        <v>8</v>
      </c>
      <c r="P180" s="13"/>
    </row>
    <row r="181" customFormat="false" ht="23.85" hidden="false" customHeight="false" outlineLevel="0" collapsed="false">
      <c r="A181" s="11" t="n">
        <v>177</v>
      </c>
      <c r="B181" s="11" t="s">
        <v>564</v>
      </c>
      <c r="C181" s="11" t="s">
        <v>565</v>
      </c>
      <c r="D181" s="11" t="s">
        <v>71</v>
      </c>
      <c r="E181" s="11" t="n">
        <v>740</v>
      </c>
      <c r="F181" s="11" t="n">
        <v>3</v>
      </c>
      <c r="G181" s="11" t="n">
        <v>1</v>
      </c>
      <c r="H181" s="11" t="s">
        <v>215</v>
      </c>
      <c r="I181" s="11" t="s">
        <v>216</v>
      </c>
      <c r="J181" s="11" t="s">
        <v>77</v>
      </c>
      <c r="K181" s="11" t="s">
        <v>77</v>
      </c>
      <c r="L181" s="11" t="s">
        <v>528</v>
      </c>
      <c r="M181" s="11" t="s">
        <v>217</v>
      </c>
      <c r="N181" s="12" t="n">
        <v>1</v>
      </c>
      <c r="O181" s="13" t="s">
        <v>8</v>
      </c>
      <c r="P181" s="13"/>
    </row>
    <row r="182" customFormat="false" ht="23.85" hidden="false" customHeight="false" outlineLevel="0" collapsed="false">
      <c r="A182" s="11" t="n">
        <v>178</v>
      </c>
      <c r="B182" s="11" t="s">
        <v>566</v>
      </c>
      <c r="C182" s="11" t="s">
        <v>567</v>
      </c>
      <c r="D182" s="11" t="s">
        <v>71</v>
      </c>
      <c r="E182" s="11" t="n">
        <v>811</v>
      </c>
      <c r="F182" s="11" t="n">
        <v>7</v>
      </c>
      <c r="G182" s="11" t="n">
        <v>5</v>
      </c>
      <c r="H182" s="11" t="s">
        <v>215</v>
      </c>
      <c r="I182" s="11" t="s">
        <v>216</v>
      </c>
      <c r="J182" s="11" t="s">
        <v>77</v>
      </c>
      <c r="K182" s="11" t="s">
        <v>77</v>
      </c>
      <c r="L182" s="11" t="s">
        <v>528</v>
      </c>
      <c r="M182" s="11" t="s">
        <v>217</v>
      </c>
      <c r="N182" s="12" t="n">
        <v>1</v>
      </c>
      <c r="O182" s="13" t="s">
        <v>8</v>
      </c>
      <c r="P182" s="13"/>
    </row>
    <row r="183" customFormat="false" ht="23.85" hidden="false" customHeight="false" outlineLevel="0" collapsed="false">
      <c r="A183" s="11" t="n">
        <v>179</v>
      </c>
      <c r="B183" s="11" t="s">
        <v>568</v>
      </c>
      <c r="C183" s="11" t="s">
        <v>569</v>
      </c>
      <c r="D183" s="11" t="s">
        <v>71</v>
      </c>
      <c r="E183" s="11" t="n">
        <v>346</v>
      </c>
      <c r="F183" s="11" t="n">
        <v>0</v>
      </c>
      <c r="G183" s="11" t="n">
        <v>0</v>
      </c>
      <c r="H183" s="11" t="s">
        <v>215</v>
      </c>
      <c r="I183" s="11" t="s">
        <v>216</v>
      </c>
      <c r="J183" s="11" t="s">
        <v>77</v>
      </c>
      <c r="K183" s="11" t="s">
        <v>77</v>
      </c>
      <c r="L183" s="11" t="s">
        <v>528</v>
      </c>
      <c r="M183" s="11" t="s">
        <v>57</v>
      </c>
      <c r="N183" s="12" t="n">
        <v>0</v>
      </c>
      <c r="O183" s="13" t="s">
        <v>8</v>
      </c>
      <c r="P183" s="13"/>
    </row>
    <row r="184" customFormat="false" ht="23.85" hidden="false" customHeight="false" outlineLevel="0" collapsed="false">
      <c r="A184" s="11" t="n">
        <v>180</v>
      </c>
      <c r="B184" s="11" t="s">
        <v>570</v>
      </c>
      <c r="C184" s="11" t="s">
        <v>571</v>
      </c>
      <c r="D184" s="11" t="s">
        <v>71</v>
      </c>
      <c r="E184" s="11" t="n">
        <v>109</v>
      </c>
      <c r="F184" s="11" t="n">
        <v>5</v>
      </c>
      <c r="G184" s="11" t="n">
        <v>5</v>
      </c>
      <c r="H184" s="11" t="s">
        <v>215</v>
      </c>
      <c r="I184" s="11" t="s">
        <v>216</v>
      </c>
      <c r="J184" s="11" t="s">
        <v>77</v>
      </c>
      <c r="K184" s="11" t="s">
        <v>77</v>
      </c>
      <c r="L184" s="11" t="s">
        <v>528</v>
      </c>
      <c r="M184" s="11" t="s">
        <v>217</v>
      </c>
      <c r="N184" s="12" t="n">
        <v>1</v>
      </c>
      <c r="O184" s="13" t="s">
        <v>8</v>
      </c>
      <c r="P184" s="13"/>
    </row>
    <row r="185" customFormat="false" ht="23.85" hidden="false" customHeight="false" outlineLevel="0" collapsed="false">
      <c r="A185" s="11" t="n">
        <v>181</v>
      </c>
      <c r="B185" s="11" t="s">
        <v>572</v>
      </c>
      <c r="C185" s="11" t="s">
        <v>573</v>
      </c>
      <c r="D185" s="11" t="s">
        <v>71</v>
      </c>
      <c r="E185" s="11" t="n">
        <v>297</v>
      </c>
      <c r="F185" s="11" t="n">
        <v>4</v>
      </c>
      <c r="G185" s="11" t="n">
        <v>4</v>
      </c>
      <c r="H185" s="11" t="s">
        <v>242</v>
      </c>
      <c r="I185" s="11" t="s">
        <v>248</v>
      </c>
      <c r="J185" s="11" t="s">
        <v>249</v>
      </c>
      <c r="K185" s="11" t="s">
        <v>210</v>
      </c>
      <c r="L185" s="11" t="s">
        <v>574</v>
      </c>
      <c r="M185" s="11" t="s">
        <v>88</v>
      </c>
      <c r="N185" s="12" t="n">
        <v>1</v>
      </c>
      <c r="O185" s="13" t="s">
        <v>8</v>
      </c>
      <c r="P185" s="13"/>
    </row>
    <row r="186" customFormat="false" ht="23.85" hidden="false" customHeight="false" outlineLevel="0" collapsed="false">
      <c r="A186" s="11" t="n">
        <v>182</v>
      </c>
      <c r="B186" s="11" t="s">
        <v>575</v>
      </c>
      <c r="C186" s="11" t="s">
        <v>576</v>
      </c>
      <c r="D186" s="11" t="s">
        <v>71</v>
      </c>
      <c r="E186" s="11" t="n">
        <v>705</v>
      </c>
      <c r="F186" s="11" t="n">
        <v>5</v>
      </c>
      <c r="G186" s="11" t="n">
        <v>1</v>
      </c>
      <c r="H186" s="11" t="s">
        <v>242</v>
      </c>
      <c r="I186" s="11" t="s">
        <v>248</v>
      </c>
      <c r="J186" s="11" t="s">
        <v>249</v>
      </c>
      <c r="K186" s="11" t="s">
        <v>210</v>
      </c>
      <c r="L186" s="11" t="s">
        <v>574</v>
      </c>
      <c r="M186" s="11" t="s">
        <v>88</v>
      </c>
      <c r="N186" s="12" t="n">
        <v>1</v>
      </c>
      <c r="O186" s="13" t="s">
        <v>8</v>
      </c>
      <c r="P186" s="13"/>
    </row>
    <row r="187" customFormat="false" ht="23.85" hidden="false" customHeight="false" outlineLevel="0" collapsed="false">
      <c r="A187" s="11" t="n">
        <v>183</v>
      </c>
      <c r="B187" s="11" t="s">
        <v>577</v>
      </c>
      <c r="C187" s="11" t="s">
        <v>578</v>
      </c>
      <c r="D187" s="11" t="s">
        <v>71</v>
      </c>
      <c r="E187" s="11" t="n">
        <v>852</v>
      </c>
      <c r="F187" s="11" t="n">
        <v>5</v>
      </c>
      <c r="G187" s="11" t="n">
        <v>1</v>
      </c>
      <c r="H187" s="11" t="s">
        <v>242</v>
      </c>
      <c r="I187" s="11" t="s">
        <v>248</v>
      </c>
      <c r="J187" s="11" t="s">
        <v>249</v>
      </c>
      <c r="K187" s="11" t="s">
        <v>210</v>
      </c>
      <c r="L187" s="11" t="s">
        <v>574</v>
      </c>
      <c r="M187" s="11" t="s">
        <v>88</v>
      </c>
      <c r="N187" s="12" t="n">
        <v>1</v>
      </c>
      <c r="O187" s="13" t="s">
        <v>8</v>
      </c>
      <c r="P187" s="13"/>
    </row>
    <row r="188" customFormat="false" ht="23.85" hidden="false" customHeight="false" outlineLevel="0" collapsed="false">
      <c r="A188" s="11" t="n">
        <v>184</v>
      </c>
      <c r="B188" s="11" t="s">
        <v>579</v>
      </c>
      <c r="C188" s="11" t="s">
        <v>580</v>
      </c>
      <c r="D188" s="11" t="s">
        <v>71</v>
      </c>
      <c r="E188" s="11" t="n">
        <v>720</v>
      </c>
      <c r="F188" s="11" t="n">
        <v>5</v>
      </c>
      <c r="G188" s="11" t="n">
        <v>1</v>
      </c>
      <c r="H188" s="11" t="s">
        <v>242</v>
      </c>
      <c r="I188" s="11" t="s">
        <v>248</v>
      </c>
      <c r="J188" s="11" t="s">
        <v>249</v>
      </c>
      <c r="K188" s="11" t="s">
        <v>210</v>
      </c>
      <c r="L188" s="11" t="s">
        <v>574</v>
      </c>
      <c r="M188" s="11" t="s">
        <v>88</v>
      </c>
      <c r="N188" s="12" t="n">
        <v>1</v>
      </c>
      <c r="O188" s="13" t="s">
        <v>8</v>
      </c>
      <c r="P188" s="13"/>
    </row>
    <row r="189" customFormat="false" ht="23.85" hidden="false" customHeight="false" outlineLevel="0" collapsed="false">
      <c r="A189" s="11" t="n">
        <v>185</v>
      </c>
      <c r="B189" s="11" t="s">
        <v>581</v>
      </c>
      <c r="C189" s="11" t="s">
        <v>582</v>
      </c>
      <c r="D189" s="11" t="s">
        <v>71</v>
      </c>
      <c r="E189" s="11" t="n">
        <v>714</v>
      </c>
      <c r="F189" s="11" t="n">
        <v>5</v>
      </c>
      <c r="G189" s="11" t="n">
        <v>1</v>
      </c>
      <c r="H189" s="11" t="s">
        <v>242</v>
      </c>
      <c r="I189" s="11" t="s">
        <v>248</v>
      </c>
      <c r="J189" s="11" t="s">
        <v>249</v>
      </c>
      <c r="K189" s="11" t="s">
        <v>210</v>
      </c>
      <c r="L189" s="11" t="s">
        <v>574</v>
      </c>
      <c r="M189" s="11" t="s">
        <v>88</v>
      </c>
      <c r="N189" s="12" t="n">
        <v>1</v>
      </c>
      <c r="O189" s="13" t="s">
        <v>8</v>
      </c>
      <c r="P189" s="13"/>
    </row>
    <row r="190" customFormat="false" ht="23.85" hidden="false" customHeight="false" outlineLevel="0" collapsed="false">
      <c r="A190" s="11" t="n">
        <v>186</v>
      </c>
      <c r="B190" s="11" t="s">
        <v>583</v>
      </c>
      <c r="C190" s="11" t="s">
        <v>584</v>
      </c>
      <c r="D190" s="11" t="s">
        <v>71</v>
      </c>
      <c r="E190" s="11" t="n">
        <v>388</v>
      </c>
      <c r="F190" s="11" t="n">
        <v>2</v>
      </c>
      <c r="G190" s="11" t="n">
        <v>0</v>
      </c>
      <c r="H190" s="11" t="s">
        <v>207</v>
      </c>
      <c r="I190" s="11" t="s">
        <v>232</v>
      </c>
      <c r="J190" s="11" t="s">
        <v>233</v>
      </c>
      <c r="K190" s="11" t="s">
        <v>55</v>
      </c>
      <c r="L190" s="11" t="s">
        <v>585</v>
      </c>
      <c r="M190" s="11" t="s">
        <v>88</v>
      </c>
      <c r="N190" s="12" t="n">
        <v>1</v>
      </c>
      <c r="O190" s="13" t="s">
        <v>8</v>
      </c>
      <c r="P190" s="13"/>
    </row>
    <row r="191" customFormat="false" ht="23.85" hidden="false" customHeight="false" outlineLevel="0" collapsed="false">
      <c r="A191" s="11" t="n">
        <v>187</v>
      </c>
      <c r="B191" s="11" t="s">
        <v>586</v>
      </c>
      <c r="C191" s="11" t="s">
        <v>587</v>
      </c>
      <c r="D191" s="11" t="s">
        <v>71</v>
      </c>
      <c r="E191" s="11" t="n">
        <v>393</v>
      </c>
      <c r="F191" s="11" t="n">
        <v>1</v>
      </c>
      <c r="G191" s="11" t="n">
        <v>0</v>
      </c>
      <c r="H191" s="11" t="s">
        <v>207</v>
      </c>
      <c r="I191" s="11" t="s">
        <v>232</v>
      </c>
      <c r="J191" s="11" t="s">
        <v>233</v>
      </c>
      <c r="K191" s="11" t="s">
        <v>55</v>
      </c>
      <c r="L191" s="11" t="s">
        <v>585</v>
      </c>
      <c r="M191" s="11" t="s">
        <v>88</v>
      </c>
      <c r="N191" s="12" t="n">
        <v>1</v>
      </c>
      <c r="O191" s="13" t="s">
        <v>8</v>
      </c>
      <c r="P191" s="13"/>
    </row>
    <row r="192" customFormat="false" ht="23.85" hidden="false" customHeight="false" outlineLevel="0" collapsed="false">
      <c r="A192" s="11" t="n">
        <v>188</v>
      </c>
      <c r="B192" s="11" t="s">
        <v>588</v>
      </c>
      <c r="C192" s="11" t="s">
        <v>589</v>
      </c>
      <c r="D192" s="11" t="s">
        <v>71</v>
      </c>
      <c r="E192" s="11" t="n">
        <v>357</v>
      </c>
      <c r="F192" s="11" t="n">
        <v>2</v>
      </c>
      <c r="G192" s="11" t="n">
        <v>0</v>
      </c>
      <c r="H192" s="11" t="s">
        <v>207</v>
      </c>
      <c r="I192" s="11" t="s">
        <v>232</v>
      </c>
      <c r="J192" s="11" t="s">
        <v>233</v>
      </c>
      <c r="K192" s="11" t="s">
        <v>55</v>
      </c>
      <c r="L192" s="11" t="s">
        <v>585</v>
      </c>
      <c r="M192" s="11" t="s">
        <v>88</v>
      </c>
      <c r="N192" s="12" t="n">
        <v>1</v>
      </c>
      <c r="O192" s="13" t="s">
        <v>8</v>
      </c>
      <c r="P192" s="13"/>
    </row>
    <row r="193" customFormat="false" ht="23.85" hidden="false" customHeight="false" outlineLevel="0" collapsed="false">
      <c r="A193" s="11" t="n">
        <v>189</v>
      </c>
      <c r="B193" s="11" t="s">
        <v>590</v>
      </c>
      <c r="C193" s="11" t="s">
        <v>591</v>
      </c>
      <c r="D193" s="11" t="s">
        <v>71</v>
      </c>
      <c r="E193" s="11" t="n">
        <v>374</v>
      </c>
      <c r="F193" s="11" t="n">
        <v>1</v>
      </c>
      <c r="G193" s="11" t="n">
        <v>0</v>
      </c>
      <c r="H193" s="11" t="s">
        <v>207</v>
      </c>
      <c r="I193" s="11" t="s">
        <v>232</v>
      </c>
      <c r="J193" s="11" t="s">
        <v>233</v>
      </c>
      <c r="K193" s="11" t="s">
        <v>55</v>
      </c>
      <c r="L193" s="11" t="s">
        <v>585</v>
      </c>
      <c r="M193" s="11" t="s">
        <v>88</v>
      </c>
      <c r="N193" s="12" t="n">
        <v>1</v>
      </c>
      <c r="O193" s="13" t="s">
        <v>8</v>
      </c>
      <c r="P193" s="13"/>
    </row>
    <row r="194" customFormat="false" ht="23.85" hidden="false" customHeight="false" outlineLevel="0" collapsed="false">
      <c r="A194" s="11" t="n">
        <v>190</v>
      </c>
      <c r="B194" s="11" t="s">
        <v>592</v>
      </c>
      <c r="C194" s="11" t="s">
        <v>593</v>
      </c>
      <c r="D194" s="11" t="s">
        <v>71</v>
      </c>
      <c r="E194" s="11" t="n">
        <v>113</v>
      </c>
      <c r="F194" s="11" t="n">
        <v>4</v>
      </c>
      <c r="G194" s="11" t="n">
        <v>4</v>
      </c>
      <c r="H194" s="11" t="s">
        <v>215</v>
      </c>
      <c r="I194" s="11" t="s">
        <v>594</v>
      </c>
      <c r="J194" s="11" t="s">
        <v>595</v>
      </c>
      <c r="K194" s="11" t="s">
        <v>595</v>
      </c>
      <c r="L194" s="11" t="s">
        <v>528</v>
      </c>
      <c r="M194" s="11" t="s">
        <v>217</v>
      </c>
      <c r="N194" s="12" t="n">
        <v>1</v>
      </c>
      <c r="O194" s="13" t="s">
        <v>8</v>
      </c>
      <c r="P194" s="13"/>
    </row>
    <row r="195" customFormat="false" ht="23.85" hidden="false" customHeight="false" outlineLevel="0" collapsed="false">
      <c r="A195" s="11" t="n">
        <v>191</v>
      </c>
      <c r="B195" s="11" t="s">
        <v>596</v>
      </c>
      <c r="C195" s="11" t="s">
        <v>597</v>
      </c>
      <c r="D195" s="11" t="s">
        <v>71</v>
      </c>
      <c r="E195" s="11" t="n">
        <v>682</v>
      </c>
      <c r="F195" s="11" t="n">
        <v>3</v>
      </c>
      <c r="G195" s="11" t="n">
        <v>3</v>
      </c>
      <c r="H195" s="11" t="s">
        <v>215</v>
      </c>
      <c r="I195" s="11" t="s">
        <v>594</v>
      </c>
      <c r="J195" s="11" t="s">
        <v>595</v>
      </c>
      <c r="K195" s="11" t="s">
        <v>595</v>
      </c>
      <c r="L195" s="11" t="s">
        <v>528</v>
      </c>
      <c r="M195" s="11" t="s">
        <v>217</v>
      </c>
      <c r="N195" s="12" t="n">
        <v>1</v>
      </c>
      <c r="O195" s="13" t="s">
        <v>8</v>
      </c>
      <c r="P195" s="13"/>
    </row>
    <row r="196" customFormat="false" ht="23.85" hidden="false" customHeight="false" outlineLevel="0" collapsed="false">
      <c r="A196" s="11" t="n">
        <v>192</v>
      </c>
      <c r="B196" s="11" t="s">
        <v>598</v>
      </c>
      <c r="C196" s="11" t="s">
        <v>593</v>
      </c>
      <c r="D196" s="11" t="s">
        <v>71</v>
      </c>
      <c r="E196" s="11" t="n">
        <v>960</v>
      </c>
      <c r="F196" s="11" t="n">
        <v>3</v>
      </c>
      <c r="G196" s="11" t="n">
        <v>3</v>
      </c>
      <c r="H196" s="11" t="s">
        <v>215</v>
      </c>
      <c r="I196" s="11" t="s">
        <v>594</v>
      </c>
      <c r="J196" s="11" t="s">
        <v>595</v>
      </c>
      <c r="K196" s="11" t="s">
        <v>595</v>
      </c>
      <c r="L196" s="11" t="s">
        <v>528</v>
      </c>
      <c r="M196" s="11" t="s">
        <v>217</v>
      </c>
      <c r="N196" s="12" t="n">
        <v>1</v>
      </c>
      <c r="O196" s="13" t="s">
        <v>8</v>
      </c>
      <c r="P196" s="13"/>
    </row>
    <row r="197" customFormat="false" ht="23.85" hidden="false" customHeight="false" outlineLevel="0" collapsed="false">
      <c r="A197" s="11" t="n">
        <v>193</v>
      </c>
      <c r="B197" s="11" t="s">
        <v>599</v>
      </c>
      <c r="C197" s="11" t="s">
        <v>600</v>
      </c>
      <c r="D197" s="11" t="s">
        <v>71</v>
      </c>
      <c r="E197" s="11" t="n">
        <v>700</v>
      </c>
      <c r="F197" s="11" t="n">
        <v>2</v>
      </c>
      <c r="G197" s="11" t="n">
        <v>2</v>
      </c>
      <c r="H197" s="11" t="s">
        <v>215</v>
      </c>
      <c r="I197" s="11" t="s">
        <v>594</v>
      </c>
      <c r="J197" s="11" t="s">
        <v>595</v>
      </c>
      <c r="K197" s="11" t="s">
        <v>595</v>
      </c>
      <c r="L197" s="11" t="s">
        <v>528</v>
      </c>
      <c r="M197" s="11" t="s">
        <v>217</v>
      </c>
      <c r="N197" s="12" t="n">
        <v>1</v>
      </c>
      <c r="O197" s="13" t="s">
        <v>8</v>
      </c>
      <c r="P197" s="13"/>
    </row>
    <row r="198" customFormat="false" ht="23.85" hidden="false" customHeight="false" outlineLevel="0" collapsed="false">
      <c r="A198" s="11" t="n">
        <v>194</v>
      </c>
      <c r="B198" s="11" t="s">
        <v>601</v>
      </c>
      <c r="C198" s="11" t="s">
        <v>602</v>
      </c>
      <c r="D198" s="11" t="s">
        <v>71</v>
      </c>
      <c r="E198" s="11" t="n">
        <v>907</v>
      </c>
      <c r="F198" s="11" t="n">
        <v>7</v>
      </c>
      <c r="G198" s="11" t="n">
        <v>6</v>
      </c>
      <c r="H198" s="11" t="s">
        <v>215</v>
      </c>
      <c r="I198" s="11" t="s">
        <v>594</v>
      </c>
      <c r="J198" s="11" t="s">
        <v>595</v>
      </c>
      <c r="K198" s="11" t="s">
        <v>595</v>
      </c>
      <c r="L198" s="11" t="s">
        <v>528</v>
      </c>
      <c r="M198" s="11" t="s">
        <v>217</v>
      </c>
      <c r="N198" s="12" t="n">
        <v>1</v>
      </c>
      <c r="O198" s="13" t="s">
        <v>8</v>
      </c>
      <c r="P198" s="13"/>
    </row>
    <row r="199" customFormat="false" ht="23.85" hidden="false" customHeight="false" outlineLevel="0" collapsed="false">
      <c r="A199" s="11" t="n">
        <v>195</v>
      </c>
      <c r="B199" s="11" t="s">
        <v>603</v>
      </c>
      <c r="C199" s="11" t="s">
        <v>604</v>
      </c>
      <c r="D199" s="11" t="s">
        <v>71</v>
      </c>
      <c r="E199" s="11" t="n">
        <v>317</v>
      </c>
      <c r="F199" s="11" t="n">
        <v>0</v>
      </c>
      <c r="G199" s="11" t="n">
        <v>0</v>
      </c>
      <c r="H199" s="11" t="s">
        <v>215</v>
      </c>
      <c r="I199" s="11" t="s">
        <v>594</v>
      </c>
      <c r="J199" s="11" t="s">
        <v>595</v>
      </c>
      <c r="K199" s="11" t="s">
        <v>595</v>
      </c>
      <c r="L199" s="11" t="s">
        <v>528</v>
      </c>
      <c r="M199" s="11" t="s">
        <v>57</v>
      </c>
      <c r="N199" s="12" t="n">
        <v>0</v>
      </c>
      <c r="O199" s="13" t="s">
        <v>8</v>
      </c>
      <c r="P199" s="13"/>
    </row>
    <row r="200" customFormat="false" ht="23.85" hidden="false" customHeight="false" outlineLevel="0" collapsed="false">
      <c r="A200" s="11" t="n">
        <v>196</v>
      </c>
      <c r="B200" s="11" t="s">
        <v>605</v>
      </c>
      <c r="C200" s="11" t="s">
        <v>606</v>
      </c>
      <c r="D200" s="11" t="s">
        <v>71</v>
      </c>
      <c r="E200" s="11" t="n">
        <v>719</v>
      </c>
      <c r="F200" s="11" t="n">
        <v>1</v>
      </c>
      <c r="G200" s="11" t="n">
        <v>0</v>
      </c>
      <c r="H200" s="11" t="s">
        <v>215</v>
      </c>
      <c r="I200" s="11" t="s">
        <v>227</v>
      </c>
      <c r="J200" s="11" t="s">
        <v>228</v>
      </c>
      <c r="K200" s="11" t="s">
        <v>228</v>
      </c>
      <c r="L200" s="11" t="s">
        <v>528</v>
      </c>
      <c r="M200" s="11" t="s">
        <v>217</v>
      </c>
      <c r="N200" s="12" t="n">
        <v>1</v>
      </c>
      <c r="O200" s="13" t="s">
        <v>8</v>
      </c>
      <c r="P200" s="13"/>
    </row>
    <row r="201" customFormat="false" ht="23.85" hidden="false" customHeight="false" outlineLevel="0" collapsed="false">
      <c r="A201" s="11" t="n">
        <v>197</v>
      </c>
      <c r="B201" s="11" t="s">
        <v>607</v>
      </c>
      <c r="C201" s="11" t="s">
        <v>608</v>
      </c>
      <c r="D201" s="11" t="s">
        <v>71</v>
      </c>
      <c r="E201" s="11" t="n">
        <v>1096</v>
      </c>
      <c r="F201" s="11" t="n">
        <v>3</v>
      </c>
      <c r="G201" s="11" t="n">
        <v>1</v>
      </c>
      <c r="H201" s="11" t="s">
        <v>215</v>
      </c>
      <c r="I201" s="11" t="s">
        <v>227</v>
      </c>
      <c r="J201" s="11" t="s">
        <v>228</v>
      </c>
      <c r="K201" s="11" t="s">
        <v>228</v>
      </c>
      <c r="L201" s="11" t="s">
        <v>528</v>
      </c>
      <c r="M201" s="11" t="s">
        <v>217</v>
      </c>
      <c r="N201" s="12" t="n">
        <v>1</v>
      </c>
      <c r="O201" s="13" t="s">
        <v>8</v>
      </c>
      <c r="P201" s="13"/>
    </row>
    <row r="202" customFormat="false" ht="23.85" hidden="false" customHeight="false" outlineLevel="0" collapsed="false">
      <c r="A202" s="11" t="n">
        <v>198</v>
      </c>
      <c r="B202" s="11" t="s">
        <v>609</v>
      </c>
      <c r="C202" s="11" t="s">
        <v>610</v>
      </c>
      <c r="D202" s="11" t="s">
        <v>71</v>
      </c>
      <c r="E202" s="11" t="n">
        <v>690</v>
      </c>
      <c r="F202" s="11" t="n">
        <v>0</v>
      </c>
      <c r="G202" s="11" t="n">
        <v>0</v>
      </c>
      <c r="H202" s="11" t="s">
        <v>215</v>
      </c>
      <c r="I202" s="11" t="s">
        <v>227</v>
      </c>
      <c r="J202" s="11" t="s">
        <v>228</v>
      </c>
      <c r="K202" s="11" t="s">
        <v>228</v>
      </c>
      <c r="L202" s="11" t="s">
        <v>528</v>
      </c>
      <c r="M202" s="11" t="s">
        <v>57</v>
      </c>
      <c r="N202" s="12" t="n">
        <v>0</v>
      </c>
      <c r="O202" s="13" t="s">
        <v>8</v>
      </c>
      <c r="P202" s="13"/>
    </row>
    <row r="203" customFormat="false" ht="23.85" hidden="false" customHeight="false" outlineLevel="0" collapsed="false">
      <c r="A203" s="11" t="n">
        <v>199</v>
      </c>
      <c r="B203" s="11" t="s">
        <v>611</v>
      </c>
      <c r="C203" s="11" t="s">
        <v>612</v>
      </c>
      <c r="D203" s="11" t="s">
        <v>71</v>
      </c>
      <c r="E203" s="11" t="n">
        <v>890</v>
      </c>
      <c r="F203" s="11" t="n">
        <v>5</v>
      </c>
      <c r="G203" s="11" t="n">
        <v>4</v>
      </c>
      <c r="H203" s="11" t="s">
        <v>215</v>
      </c>
      <c r="I203" s="11" t="s">
        <v>227</v>
      </c>
      <c r="J203" s="11" t="s">
        <v>228</v>
      </c>
      <c r="K203" s="11" t="s">
        <v>228</v>
      </c>
      <c r="L203" s="11" t="s">
        <v>528</v>
      </c>
      <c r="M203" s="11" t="s">
        <v>217</v>
      </c>
      <c r="N203" s="12" t="n">
        <v>1</v>
      </c>
      <c r="O203" s="13" t="s">
        <v>8</v>
      </c>
      <c r="P203" s="13"/>
    </row>
    <row r="204" customFormat="false" ht="23.85" hidden="false" customHeight="false" outlineLevel="0" collapsed="false">
      <c r="A204" s="11" t="n">
        <v>200</v>
      </c>
      <c r="B204" s="11" t="s">
        <v>613</v>
      </c>
      <c r="C204" s="11" t="s">
        <v>614</v>
      </c>
      <c r="D204" s="11" t="s">
        <v>71</v>
      </c>
      <c r="E204" s="11" t="n">
        <v>314</v>
      </c>
      <c r="F204" s="11" t="n">
        <v>0</v>
      </c>
      <c r="G204" s="11" t="n">
        <v>0</v>
      </c>
      <c r="H204" s="11" t="s">
        <v>215</v>
      </c>
      <c r="I204" s="11" t="s">
        <v>227</v>
      </c>
      <c r="J204" s="11" t="s">
        <v>228</v>
      </c>
      <c r="K204" s="11" t="s">
        <v>228</v>
      </c>
      <c r="L204" s="11" t="s">
        <v>528</v>
      </c>
      <c r="M204" s="11" t="s">
        <v>57</v>
      </c>
      <c r="N204" s="12" t="n">
        <v>0</v>
      </c>
      <c r="O204" s="13" t="s">
        <v>8</v>
      </c>
      <c r="P204" s="13"/>
    </row>
    <row r="205" customFormat="false" ht="23.85" hidden="false" customHeight="false" outlineLevel="0" collapsed="false">
      <c r="A205" s="11" t="n">
        <v>201</v>
      </c>
      <c r="B205" s="11" t="s">
        <v>615</v>
      </c>
      <c r="C205" s="11" t="s">
        <v>616</v>
      </c>
      <c r="D205" s="11" t="s">
        <v>71</v>
      </c>
      <c r="E205" s="11" t="n">
        <v>107</v>
      </c>
      <c r="F205" s="11" t="n">
        <v>5</v>
      </c>
      <c r="G205" s="11" t="n">
        <v>5</v>
      </c>
      <c r="H205" s="11" t="s">
        <v>215</v>
      </c>
      <c r="I205" s="11" t="s">
        <v>227</v>
      </c>
      <c r="J205" s="11" t="s">
        <v>228</v>
      </c>
      <c r="K205" s="11" t="s">
        <v>228</v>
      </c>
      <c r="L205" s="11" t="s">
        <v>528</v>
      </c>
      <c r="M205" s="11" t="s">
        <v>217</v>
      </c>
      <c r="N205" s="12" t="n">
        <v>1</v>
      </c>
      <c r="O205" s="13" t="s">
        <v>8</v>
      </c>
      <c r="P205" s="13"/>
    </row>
    <row r="206" customFormat="false" ht="23.85" hidden="false" customHeight="false" outlineLevel="0" collapsed="false">
      <c r="A206" s="11" t="n">
        <v>202</v>
      </c>
      <c r="B206" s="11" t="s">
        <v>617</v>
      </c>
      <c r="C206" s="11" t="s">
        <v>618</v>
      </c>
      <c r="D206" s="11" t="s">
        <v>71</v>
      </c>
      <c r="E206" s="11" t="n">
        <v>188</v>
      </c>
      <c r="F206" s="11" t="n">
        <v>1</v>
      </c>
      <c r="G206" s="11" t="n">
        <v>0</v>
      </c>
      <c r="H206" s="11" t="s">
        <v>215</v>
      </c>
      <c r="I206" s="11" t="s">
        <v>222</v>
      </c>
      <c r="J206" s="11" t="s">
        <v>223</v>
      </c>
      <c r="K206" s="11" t="s">
        <v>55</v>
      </c>
      <c r="L206" s="11" t="s">
        <v>224</v>
      </c>
      <c r="M206" s="11" t="s">
        <v>217</v>
      </c>
      <c r="N206" s="12" t="n">
        <v>1</v>
      </c>
      <c r="O206" s="13" t="s">
        <v>8</v>
      </c>
      <c r="P206" s="13"/>
    </row>
    <row r="207" customFormat="false" ht="15" hidden="false" customHeight="false" outlineLevel="0" collapsed="false">
      <c r="A207" s="11" t="n">
        <v>203</v>
      </c>
      <c r="B207" s="11" t="s">
        <v>619</v>
      </c>
      <c r="C207" s="11" t="s">
        <v>620</v>
      </c>
      <c r="D207" s="11" t="s">
        <v>71</v>
      </c>
      <c r="E207" s="11" t="n">
        <v>263</v>
      </c>
      <c r="F207" s="11" t="n">
        <v>0</v>
      </c>
      <c r="G207" s="11" t="n">
        <v>0</v>
      </c>
      <c r="H207" s="11" t="s">
        <v>84</v>
      </c>
      <c r="I207" s="11" t="s">
        <v>176</v>
      </c>
      <c r="J207" s="11" t="s">
        <v>177</v>
      </c>
      <c r="K207" s="11" t="s">
        <v>55</v>
      </c>
      <c r="L207" s="11" t="s">
        <v>621</v>
      </c>
      <c r="M207" s="11" t="s">
        <v>57</v>
      </c>
      <c r="N207" s="12" t="n">
        <v>0</v>
      </c>
      <c r="O207" s="13" t="s">
        <v>8</v>
      </c>
      <c r="P207" s="13"/>
    </row>
    <row r="208" customFormat="false" ht="23.85" hidden="false" customHeight="false" outlineLevel="0" collapsed="false">
      <c r="A208" s="11" t="n">
        <v>204</v>
      </c>
      <c r="B208" s="11" t="s">
        <v>622</v>
      </c>
      <c r="C208" s="11" t="s">
        <v>623</v>
      </c>
      <c r="D208" s="11" t="s">
        <v>71</v>
      </c>
      <c r="E208" s="11" t="n">
        <v>305</v>
      </c>
      <c r="F208" s="11" t="n">
        <v>1</v>
      </c>
      <c r="G208" s="11" t="n">
        <v>0</v>
      </c>
      <c r="H208" s="11" t="s">
        <v>215</v>
      </c>
      <c r="I208" s="11" t="s">
        <v>624</v>
      </c>
      <c r="J208" s="11" t="s">
        <v>625</v>
      </c>
      <c r="K208" s="11" t="s">
        <v>625</v>
      </c>
      <c r="L208" s="11" t="s">
        <v>626</v>
      </c>
      <c r="M208" s="11" t="s">
        <v>217</v>
      </c>
      <c r="N208" s="12" t="n">
        <v>1</v>
      </c>
      <c r="O208" s="13" t="s">
        <v>8</v>
      </c>
      <c r="P208" s="13"/>
    </row>
    <row r="209" customFormat="false" ht="23.85" hidden="false" customHeight="false" outlineLevel="0" collapsed="false">
      <c r="A209" s="11" t="n">
        <v>205</v>
      </c>
      <c r="B209" s="11" t="s">
        <v>627</v>
      </c>
      <c r="C209" s="11" t="s">
        <v>628</v>
      </c>
      <c r="D209" s="11" t="s">
        <v>71</v>
      </c>
      <c r="E209" s="11" t="n">
        <v>429</v>
      </c>
      <c r="F209" s="11" t="n">
        <v>3</v>
      </c>
      <c r="G209" s="11" t="n">
        <v>0</v>
      </c>
      <c r="H209" s="11" t="s">
        <v>215</v>
      </c>
      <c r="I209" s="11" t="s">
        <v>624</v>
      </c>
      <c r="J209" s="11" t="s">
        <v>625</v>
      </c>
      <c r="K209" s="11" t="s">
        <v>625</v>
      </c>
      <c r="L209" s="11" t="s">
        <v>626</v>
      </c>
      <c r="M209" s="11" t="s">
        <v>217</v>
      </c>
      <c r="N209" s="12" t="n">
        <v>1</v>
      </c>
      <c r="O209" s="13" t="s">
        <v>8</v>
      </c>
      <c r="P209" s="13"/>
    </row>
    <row r="210" customFormat="false" ht="15" hidden="false" customHeight="false" outlineLevel="0" collapsed="false">
      <c r="A210" s="11" t="n">
        <v>206</v>
      </c>
      <c r="B210" s="11" t="s">
        <v>629</v>
      </c>
      <c r="C210" s="11" t="s">
        <v>630</v>
      </c>
      <c r="D210" s="11" t="s">
        <v>71</v>
      </c>
      <c r="E210" s="11" t="n">
        <v>600</v>
      </c>
      <c r="F210" s="11" t="n">
        <v>0</v>
      </c>
      <c r="G210" s="11" t="n">
        <v>0</v>
      </c>
      <c r="H210" s="11" t="s">
        <v>215</v>
      </c>
      <c r="I210" s="11" t="s">
        <v>624</v>
      </c>
      <c r="J210" s="11" t="s">
        <v>625</v>
      </c>
      <c r="K210" s="11" t="s">
        <v>625</v>
      </c>
      <c r="L210" s="11" t="s">
        <v>626</v>
      </c>
      <c r="M210" s="11" t="s">
        <v>57</v>
      </c>
      <c r="N210" s="12" t="n">
        <v>0</v>
      </c>
      <c r="O210" s="13" t="s">
        <v>8</v>
      </c>
      <c r="P210" s="13"/>
    </row>
    <row r="211" customFormat="false" ht="23.85" hidden="false" customHeight="false" outlineLevel="0" collapsed="false">
      <c r="A211" s="11" t="n">
        <v>207</v>
      </c>
      <c r="B211" s="11" t="s">
        <v>631</v>
      </c>
      <c r="C211" s="11" t="s">
        <v>632</v>
      </c>
      <c r="D211" s="11" t="s">
        <v>71</v>
      </c>
      <c r="E211" s="11" t="n">
        <v>665</v>
      </c>
      <c r="F211" s="11" t="n">
        <v>2</v>
      </c>
      <c r="G211" s="11" t="n">
        <v>0</v>
      </c>
      <c r="H211" s="11" t="s">
        <v>215</v>
      </c>
      <c r="I211" s="11" t="s">
        <v>624</v>
      </c>
      <c r="J211" s="11" t="s">
        <v>625</v>
      </c>
      <c r="K211" s="11" t="s">
        <v>625</v>
      </c>
      <c r="L211" s="11" t="s">
        <v>626</v>
      </c>
      <c r="M211" s="11" t="s">
        <v>217</v>
      </c>
      <c r="N211" s="12" t="n">
        <v>1</v>
      </c>
      <c r="O211" s="13" t="s">
        <v>8</v>
      </c>
      <c r="P211" s="13"/>
    </row>
    <row r="212" customFormat="false" ht="15" hidden="false" customHeight="false" outlineLevel="0" collapsed="false">
      <c r="A212" s="11" t="n">
        <v>208</v>
      </c>
      <c r="B212" s="11" t="s">
        <v>633</v>
      </c>
      <c r="C212" s="11" t="s">
        <v>634</v>
      </c>
      <c r="D212" s="11" t="s">
        <v>51</v>
      </c>
      <c r="E212" s="11" t="n">
        <v>0</v>
      </c>
      <c r="F212" s="11" t="n">
        <v>0</v>
      </c>
      <c r="G212" s="11" t="n">
        <v>0</v>
      </c>
      <c r="H212" s="11" t="s">
        <v>57</v>
      </c>
      <c r="I212" s="11" t="s">
        <v>60</v>
      </c>
      <c r="J212" s="11" t="s">
        <v>57</v>
      </c>
      <c r="K212" s="11" t="s">
        <v>57</v>
      </c>
      <c r="L212" s="11" t="s">
        <v>61</v>
      </c>
      <c r="M212" s="11" t="s">
        <v>62</v>
      </c>
      <c r="N212" s="12" t="n">
        <v>0</v>
      </c>
      <c r="O212" s="13" t="s">
        <v>8</v>
      </c>
      <c r="P212" s="13"/>
    </row>
    <row r="213" customFormat="false" ht="15" hidden="false" customHeight="false" outlineLevel="0" collapsed="false">
      <c r="A213" s="11" t="n">
        <v>209</v>
      </c>
      <c r="B213" s="11" t="s">
        <v>635</v>
      </c>
      <c r="C213" s="11" t="s">
        <v>636</v>
      </c>
      <c r="D213" s="11" t="s">
        <v>51</v>
      </c>
      <c r="E213" s="11" t="n">
        <v>213</v>
      </c>
      <c r="F213" s="11" t="n">
        <v>0</v>
      </c>
      <c r="G213" s="11" t="n">
        <v>0</v>
      </c>
      <c r="H213" s="11" t="s">
        <v>637</v>
      </c>
      <c r="I213" s="11" t="s">
        <v>638</v>
      </c>
      <c r="J213" s="11" t="s">
        <v>639</v>
      </c>
      <c r="K213" s="11" t="s">
        <v>55</v>
      </c>
      <c r="L213" s="11" t="s">
        <v>640</v>
      </c>
      <c r="M213" s="11" t="s">
        <v>57</v>
      </c>
      <c r="N213" s="12" t="n">
        <v>0</v>
      </c>
      <c r="O213" s="13" t="s">
        <v>8</v>
      </c>
      <c r="P213" s="13"/>
    </row>
    <row r="214" customFormat="false" ht="15" hidden="false" customHeight="false" outlineLevel="0" collapsed="false">
      <c r="A214" s="11" t="n">
        <v>210</v>
      </c>
      <c r="B214" s="11" t="s">
        <v>641</v>
      </c>
      <c r="C214" s="11" t="s">
        <v>642</v>
      </c>
      <c r="D214" s="11" t="s">
        <v>51</v>
      </c>
      <c r="E214" s="11" t="n">
        <v>10</v>
      </c>
      <c r="F214" s="11" t="n">
        <v>0</v>
      </c>
      <c r="G214" s="11" t="n">
        <v>0</v>
      </c>
      <c r="H214" s="11" t="s">
        <v>262</v>
      </c>
      <c r="I214" s="11" t="s">
        <v>643</v>
      </c>
      <c r="J214" s="11" t="s">
        <v>644</v>
      </c>
      <c r="K214" s="11" t="s">
        <v>55</v>
      </c>
      <c r="L214" s="11" t="s">
        <v>645</v>
      </c>
      <c r="M214" s="11" t="s">
        <v>57</v>
      </c>
      <c r="N214" s="12" t="n">
        <v>0</v>
      </c>
      <c r="O214" s="13" t="s">
        <v>8</v>
      </c>
      <c r="P214" s="13"/>
    </row>
    <row r="215" customFormat="false" ht="15" hidden="false" customHeight="false" outlineLevel="0" collapsed="false">
      <c r="A215" s="11" t="n">
        <v>211</v>
      </c>
      <c r="B215" s="11" t="s">
        <v>646</v>
      </c>
      <c r="C215" s="11" t="s">
        <v>647</v>
      </c>
      <c r="D215" s="11" t="s">
        <v>51</v>
      </c>
      <c r="E215" s="11" t="n">
        <v>31</v>
      </c>
      <c r="F215" s="11" t="n">
        <v>1</v>
      </c>
      <c r="G215" s="11" t="n">
        <v>0</v>
      </c>
      <c r="H215" s="11" t="s">
        <v>284</v>
      </c>
      <c r="I215" s="11" t="s">
        <v>648</v>
      </c>
      <c r="J215" s="11" t="s">
        <v>649</v>
      </c>
      <c r="K215" s="11" t="s">
        <v>55</v>
      </c>
      <c r="L215" s="11" t="s">
        <v>650</v>
      </c>
      <c r="M215" s="11" t="s">
        <v>290</v>
      </c>
      <c r="N215" s="12" t="n">
        <v>1</v>
      </c>
      <c r="O215" s="13" t="s">
        <v>8</v>
      </c>
      <c r="P215" s="13"/>
    </row>
    <row r="216" customFormat="false" ht="15" hidden="false" customHeight="false" outlineLevel="0" collapsed="false">
      <c r="A216" s="11" t="n">
        <v>212</v>
      </c>
      <c r="B216" s="11" t="s">
        <v>651</v>
      </c>
      <c r="C216" s="11" t="s">
        <v>652</v>
      </c>
      <c r="D216" s="11" t="s">
        <v>51</v>
      </c>
      <c r="E216" s="11" t="n">
        <v>35</v>
      </c>
      <c r="F216" s="11" t="n">
        <v>1</v>
      </c>
      <c r="G216" s="11" t="n">
        <v>0</v>
      </c>
      <c r="H216" s="11" t="s">
        <v>284</v>
      </c>
      <c r="I216" s="11" t="s">
        <v>648</v>
      </c>
      <c r="J216" s="11" t="s">
        <v>649</v>
      </c>
      <c r="K216" s="11" t="s">
        <v>55</v>
      </c>
      <c r="L216" s="11" t="s">
        <v>650</v>
      </c>
      <c r="M216" s="11" t="s">
        <v>290</v>
      </c>
      <c r="N216" s="12" t="n">
        <v>1</v>
      </c>
      <c r="O216" s="13" t="s">
        <v>8</v>
      </c>
      <c r="P216" s="13"/>
    </row>
    <row r="217" customFormat="false" ht="15" hidden="false" customHeight="false" outlineLevel="0" collapsed="false">
      <c r="A217" s="11" t="n">
        <v>213</v>
      </c>
      <c r="B217" s="11" t="s">
        <v>653</v>
      </c>
      <c r="C217" s="11" t="s">
        <v>654</v>
      </c>
      <c r="D217" s="11" t="s">
        <v>51</v>
      </c>
      <c r="E217" s="11" t="n">
        <v>33</v>
      </c>
      <c r="F217" s="11" t="n">
        <v>0</v>
      </c>
      <c r="G217" s="11" t="n">
        <v>0</v>
      </c>
      <c r="H217" s="11" t="s">
        <v>284</v>
      </c>
      <c r="I217" s="11" t="s">
        <v>655</v>
      </c>
      <c r="J217" s="11" t="s">
        <v>656</v>
      </c>
      <c r="K217" s="11" t="s">
        <v>55</v>
      </c>
      <c r="L217" s="11" t="s">
        <v>202</v>
      </c>
      <c r="M217" s="11" t="s">
        <v>57</v>
      </c>
      <c r="N217" s="12" t="n">
        <v>0</v>
      </c>
      <c r="O217" s="13" t="s">
        <v>8</v>
      </c>
      <c r="P217" s="13"/>
    </row>
    <row r="218" customFormat="false" ht="15" hidden="false" customHeight="false" outlineLevel="0" collapsed="false">
      <c r="A218" s="11" t="n">
        <v>214</v>
      </c>
      <c r="B218" s="11" t="s">
        <v>657</v>
      </c>
      <c r="C218" s="11" t="s">
        <v>658</v>
      </c>
      <c r="D218" s="11" t="s">
        <v>51</v>
      </c>
      <c r="E218" s="11" t="n">
        <v>0</v>
      </c>
      <c r="F218" s="11" t="n">
        <v>0</v>
      </c>
      <c r="G218" s="11" t="n">
        <v>0</v>
      </c>
      <c r="H218" s="11" t="s">
        <v>57</v>
      </c>
      <c r="I218" s="11" t="s">
        <v>60</v>
      </c>
      <c r="J218" s="11" t="s">
        <v>57</v>
      </c>
      <c r="K218" s="11" t="s">
        <v>57</v>
      </c>
      <c r="L218" s="11" t="s">
        <v>61</v>
      </c>
      <c r="M218" s="11" t="s">
        <v>62</v>
      </c>
      <c r="N218" s="12" t="n">
        <v>0</v>
      </c>
      <c r="O218" s="13" t="s">
        <v>8</v>
      </c>
      <c r="P218" s="13"/>
    </row>
  </sheetData>
  <autoFilter ref="A4:P218"/>
  <conditionalFormatting sqref="O5:O218">
    <cfRule type="expression" priority="2" aboveAverage="0" equalAverage="0" bottom="0" percent="0" rank="0" text="" dxfId="5">
      <formula>O5="Validé"</formula>
    </cfRule>
    <cfRule type="expression" priority="3" aboveAverage="0" equalAverage="0" bottom="0" percent="0" rank="0" text="" dxfId="6">
      <formula>O5="Refusé"</formula>
    </cfRule>
    <cfRule type="expression" priority="4" aboveAverage="0" equalAverage="0" bottom="0" percent="0" rank="0" text="" dxfId="7">
      <formula>O5="À revoir"</formula>
    </cfRule>
  </conditionalFormatting>
  <dataValidations count="2">
    <dataValidation allowBlank="true" errorStyle="stop" operator="between" showDropDown="false" showErrorMessage="false" showInputMessage="false" sqref="O5:O218" type="list">
      <formula1>"À valider,Validé,Refusé,À revoir"</formula1>
      <formula2>0</formula2>
    </dataValidation>
    <dataValidation allowBlank="true" errorStyle="stop" operator="greaterThanOrEqual" showDropDown="false" showErrorMessage="false" showInputMessage="false" sqref="N5:N21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7" min="5" style="0" width="10"/>
    <col collapsed="false" customWidth="true" hidden="false" outlineLevel="0" max="8" min="8" style="0" width="20"/>
    <col collapsed="false" customWidth="true" hidden="false" outlineLevel="0" max="9" min="9" style="0" width="13"/>
    <col collapsed="false" customWidth="true" hidden="false" outlineLevel="0" max="10" min="10" style="0" width="36"/>
  </cols>
  <sheetData>
    <row r="1" customFormat="false" ht="17.35" hidden="false" customHeight="false" outlineLevel="0" collapsed="false">
      <c r="A1" s="1" t="s">
        <v>659</v>
      </c>
    </row>
    <row r="2" customFormat="false" ht="15" hidden="false" customHeight="false" outlineLevel="0" collapsed="false">
      <c r="A2" s="2" t="s">
        <v>660</v>
      </c>
    </row>
    <row r="4" customFormat="false" ht="31.5" hidden="false" customHeight="true" outlineLevel="0" collapsed="false">
      <c r="A4" s="10" t="s">
        <v>661</v>
      </c>
      <c r="B4" s="10" t="s">
        <v>42</v>
      </c>
      <c r="C4" s="10" t="s">
        <v>662</v>
      </c>
      <c r="D4" s="10" t="s">
        <v>44</v>
      </c>
      <c r="E4" s="10" t="s">
        <v>663</v>
      </c>
      <c r="F4" s="10" t="s">
        <v>14</v>
      </c>
      <c r="G4" s="10" t="s">
        <v>664</v>
      </c>
      <c r="H4" s="10" t="s">
        <v>665</v>
      </c>
      <c r="I4" s="10" t="s">
        <v>47</v>
      </c>
      <c r="J4" s="10" t="s">
        <v>666</v>
      </c>
    </row>
    <row r="5" customFormat="false" ht="15" hidden="false" customHeight="false" outlineLevel="0" collapsed="false">
      <c r="A5" s="11" t="s">
        <v>637</v>
      </c>
      <c r="B5" s="11" t="s">
        <v>638</v>
      </c>
      <c r="C5" s="11" t="s">
        <v>639</v>
      </c>
      <c r="D5" s="11" t="s">
        <v>55</v>
      </c>
      <c r="E5" s="11" t="n">
        <f aca="false">COUNTIF('Mapping des pages'!$I$5:$I$218,B5)</f>
        <v>1</v>
      </c>
      <c r="F5" s="11" t="n">
        <f aca="false">SUMIF('Mapping des pages'!$I$5:$I$218,B5,'Mapping des pages'!$F$5:$F$218)</f>
        <v>0</v>
      </c>
      <c r="G5" s="11" t="n">
        <f aca="false">SUMIF('Mapping des pages'!$I$5:$I$218,B5,'Mapping des pages'!$N$5:$N$218)</f>
        <v>0</v>
      </c>
      <c r="H5" s="11" t="str">
        <f aca="false">IF(E5=0,"Nouvelle page à écrire","Migration")</f>
        <v>Migration</v>
      </c>
      <c r="I5" s="13" t="s">
        <v>8</v>
      </c>
      <c r="J5" s="13"/>
    </row>
    <row r="6" customFormat="false" ht="15" hidden="false" customHeight="false" outlineLevel="0" collapsed="false">
      <c r="A6" s="11" t="s">
        <v>236</v>
      </c>
      <c r="B6" s="11" t="s">
        <v>237</v>
      </c>
      <c r="C6" s="11" t="s">
        <v>238</v>
      </c>
      <c r="D6" s="11" t="s">
        <v>55</v>
      </c>
      <c r="E6" s="11" t="n">
        <f aca="false">COUNTIF('Mapping des pages'!$I$5:$I$218,B6)</f>
        <v>1</v>
      </c>
      <c r="F6" s="11" t="n">
        <f aca="false">SUMIF('Mapping des pages'!$I$5:$I$218,B6,'Mapping des pages'!$F$5:$F$218)</f>
        <v>2</v>
      </c>
      <c r="G6" s="11" t="n">
        <f aca="false">SUMIF('Mapping des pages'!$I$5:$I$218,B6,'Mapping des pages'!$N$5:$N$218)</f>
        <v>1</v>
      </c>
      <c r="H6" s="11" t="str">
        <f aca="false">IF(E6=0,"Nouvelle page à écrire","Migration")</f>
        <v>Migration</v>
      </c>
      <c r="I6" s="13" t="s">
        <v>8</v>
      </c>
      <c r="J6" s="13"/>
    </row>
    <row r="7" customFormat="false" ht="15" hidden="false" customHeight="false" outlineLevel="0" collapsed="false">
      <c r="A7" s="11" t="s">
        <v>236</v>
      </c>
      <c r="B7" s="11" t="s">
        <v>442</v>
      </c>
      <c r="C7" s="11" t="s">
        <v>443</v>
      </c>
      <c r="D7" s="11" t="s">
        <v>55</v>
      </c>
      <c r="E7" s="11" t="n">
        <f aca="false">COUNTIF('Mapping des pages'!$I$5:$I$218,B7)</f>
        <v>1</v>
      </c>
      <c r="F7" s="11" t="n">
        <f aca="false">SUMIF('Mapping des pages'!$I$5:$I$218,B7,'Mapping des pages'!$F$5:$F$218)</f>
        <v>9</v>
      </c>
      <c r="G7" s="11" t="n">
        <f aca="false">SUMIF('Mapping des pages'!$I$5:$I$218,B7,'Mapping des pages'!$N$5:$N$218)</f>
        <v>1</v>
      </c>
      <c r="H7" s="11" t="str">
        <f aca="false">IF(E7=0,"Nouvelle page à écrire","Migration")</f>
        <v>Migration</v>
      </c>
      <c r="I7" s="13" t="s">
        <v>8</v>
      </c>
      <c r="J7" s="13"/>
    </row>
    <row r="8" customFormat="false" ht="15" hidden="false" customHeight="false" outlineLevel="0" collapsed="false">
      <c r="A8" s="11" t="s">
        <v>236</v>
      </c>
      <c r="B8" s="11" t="s">
        <v>667</v>
      </c>
      <c r="C8" s="11" t="s">
        <v>668</v>
      </c>
      <c r="D8" s="11" t="s">
        <v>55</v>
      </c>
      <c r="E8" s="11" t="n">
        <f aca="false">COUNTIF('Mapping des pages'!$I$5:$I$218,B8)</f>
        <v>0</v>
      </c>
      <c r="F8" s="11" t="n">
        <f aca="false">SUMIF('Mapping des pages'!$I$5:$I$218,B8,'Mapping des pages'!$F$5:$F$218)</f>
        <v>0</v>
      </c>
      <c r="G8" s="11" t="n">
        <f aca="false">SUMIF('Mapping des pages'!$I$5:$I$218,B8,'Mapping des pages'!$N$5:$N$218)</f>
        <v>0</v>
      </c>
      <c r="H8" s="11" t="str">
        <f aca="false">IF(E8=0,"Nouvelle page à écrire","Migration")</f>
        <v>Nouvelle page à écrire</v>
      </c>
      <c r="I8" s="13" t="s">
        <v>8</v>
      </c>
      <c r="J8" s="13"/>
    </row>
    <row r="9" customFormat="false" ht="15" hidden="false" customHeight="false" outlineLevel="0" collapsed="false">
      <c r="A9" s="11" t="s">
        <v>120</v>
      </c>
      <c r="B9" s="11" t="s">
        <v>436</v>
      </c>
      <c r="C9" s="11" t="s">
        <v>437</v>
      </c>
      <c r="D9" s="11" t="s">
        <v>55</v>
      </c>
      <c r="E9" s="11" t="n">
        <f aca="false">COUNTIF('Mapping des pages'!$I$5:$I$218,B9)</f>
        <v>2</v>
      </c>
      <c r="F9" s="11" t="n">
        <f aca="false">SUMIF('Mapping des pages'!$I$5:$I$218,B9,'Mapping des pages'!$F$5:$F$218)</f>
        <v>3</v>
      </c>
      <c r="G9" s="11" t="n">
        <f aca="false">SUMIF('Mapping des pages'!$I$5:$I$218,B9,'Mapping des pages'!$N$5:$N$218)</f>
        <v>2</v>
      </c>
      <c r="H9" s="11" t="str">
        <f aca="false">IF(E9=0,"Nouvelle page à écrire","Migration")</f>
        <v>Migration</v>
      </c>
      <c r="I9" s="13" t="s">
        <v>8</v>
      </c>
      <c r="J9" s="13"/>
    </row>
    <row r="10" customFormat="false" ht="15" hidden="false" customHeight="false" outlineLevel="0" collapsed="false">
      <c r="A10" s="11" t="s">
        <v>120</v>
      </c>
      <c r="B10" s="11" t="s">
        <v>402</v>
      </c>
      <c r="C10" s="11" t="s">
        <v>403</v>
      </c>
      <c r="D10" s="11" t="s">
        <v>55</v>
      </c>
      <c r="E10" s="11" t="n">
        <f aca="false">COUNTIF('Mapping des pages'!$I$5:$I$218,B10)</f>
        <v>1</v>
      </c>
      <c r="F10" s="11" t="n">
        <f aca="false">SUMIF('Mapping des pages'!$I$5:$I$218,B10,'Mapping des pages'!$F$5:$F$218)</f>
        <v>1</v>
      </c>
      <c r="G10" s="11" t="n">
        <f aca="false">SUMIF('Mapping des pages'!$I$5:$I$218,B10,'Mapping des pages'!$N$5:$N$218)</f>
        <v>1</v>
      </c>
      <c r="H10" s="11" t="str">
        <f aca="false">IF(E10=0,"Nouvelle page à écrire","Migration")</f>
        <v>Migration</v>
      </c>
      <c r="I10" s="13" t="s">
        <v>8</v>
      </c>
      <c r="J10" s="13"/>
    </row>
    <row r="11" customFormat="false" ht="15" hidden="false" customHeight="false" outlineLevel="0" collapsed="false">
      <c r="A11" s="11" t="s">
        <v>120</v>
      </c>
      <c r="B11" s="11" t="s">
        <v>406</v>
      </c>
      <c r="C11" s="11" t="s">
        <v>407</v>
      </c>
      <c r="D11" s="11" t="s">
        <v>210</v>
      </c>
      <c r="E11" s="11" t="n">
        <f aca="false">COUNTIF('Mapping des pages'!$I$5:$I$218,B11)</f>
        <v>1</v>
      </c>
      <c r="F11" s="11" t="n">
        <f aca="false">SUMIF('Mapping des pages'!$I$5:$I$218,B11,'Mapping des pages'!$F$5:$F$218)</f>
        <v>28</v>
      </c>
      <c r="G11" s="11" t="n">
        <f aca="false">SUMIF('Mapping des pages'!$I$5:$I$218,B11,'Mapping des pages'!$N$5:$N$218)</f>
        <v>1</v>
      </c>
      <c r="H11" s="11" t="str">
        <f aca="false">IF(E11=0,"Nouvelle page à écrire","Migration")</f>
        <v>Migration</v>
      </c>
      <c r="I11" s="13" t="s">
        <v>8</v>
      </c>
      <c r="J11" s="13"/>
    </row>
    <row r="12" customFormat="false" ht="15" hidden="false" customHeight="false" outlineLevel="0" collapsed="false">
      <c r="A12" s="11" t="s">
        <v>120</v>
      </c>
      <c r="B12" s="11" t="s">
        <v>423</v>
      </c>
      <c r="C12" s="11" t="s">
        <v>424</v>
      </c>
      <c r="D12" s="11" t="s">
        <v>210</v>
      </c>
      <c r="E12" s="11" t="n">
        <f aca="false">COUNTIF('Mapping des pages'!$I$5:$I$218,B12)</f>
        <v>1</v>
      </c>
      <c r="F12" s="11" t="n">
        <f aca="false">SUMIF('Mapping des pages'!$I$5:$I$218,B12,'Mapping des pages'!$F$5:$F$218)</f>
        <v>4</v>
      </c>
      <c r="G12" s="11" t="n">
        <f aca="false">SUMIF('Mapping des pages'!$I$5:$I$218,B12,'Mapping des pages'!$N$5:$N$218)</f>
        <v>1</v>
      </c>
      <c r="H12" s="11" t="str">
        <f aca="false">IF(E12=0,"Nouvelle page à écrire","Migration")</f>
        <v>Migration</v>
      </c>
      <c r="I12" s="13" t="s">
        <v>8</v>
      </c>
      <c r="J12" s="13"/>
    </row>
    <row r="13" customFormat="false" ht="15" hidden="false" customHeight="false" outlineLevel="0" collapsed="false">
      <c r="A13" s="11" t="s">
        <v>120</v>
      </c>
      <c r="B13" s="11" t="s">
        <v>413</v>
      </c>
      <c r="C13" s="11" t="s">
        <v>414</v>
      </c>
      <c r="D13" s="11" t="s">
        <v>210</v>
      </c>
      <c r="E13" s="11" t="n">
        <f aca="false">COUNTIF('Mapping des pages'!$I$5:$I$218,B13)</f>
        <v>3</v>
      </c>
      <c r="F13" s="11" t="n">
        <f aca="false">SUMIF('Mapping des pages'!$I$5:$I$218,B13,'Mapping des pages'!$F$5:$F$218)</f>
        <v>44</v>
      </c>
      <c r="G13" s="11" t="n">
        <f aca="false">SUMIF('Mapping des pages'!$I$5:$I$218,B13,'Mapping des pages'!$N$5:$N$218)</f>
        <v>2</v>
      </c>
      <c r="H13" s="11" t="str">
        <f aca="false">IF(E13=0,"Nouvelle page à écrire","Migration")</f>
        <v>Migration</v>
      </c>
      <c r="I13" s="13" t="s">
        <v>8</v>
      </c>
      <c r="J13" s="13"/>
    </row>
    <row r="14" customFormat="false" ht="15" hidden="false" customHeight="false" outlineLevel="0" collapsed="false">
      <c r="A14" s="11" t="s">
        <v>120</v>
      </c>
      <c r="B14" s="11" t="s">
        <v>340</v>
      </c>
      <c r="C14" s="11" t="s">
        <v>341</v>
      </c>
      <c r="D14" s="11" t="s">
        <v>55</v>
      </c>
      <c r="E14" s="11" t="n">
        <f aca="false">COUNTIF('Mapping des pages'!$I$5:$I$218,B14)</f>
        <v>5</v>
      </c>
      <c r="F14" s="11" t="n">
        <f aca="false">SUMIF('Mapping des pages'!$I$5:$I$218,B14,'Mapping des pages'!$F$5:$F$218)</f>
        <v>14</v>
      </c>
      <c r="G14" s="11" t="n">
        <f aca="false">SUMIF('Mapping des pages'!$I$5:$I$218,B14,'Mapping des pages'!$N$5:$N$218)</f>
        <v>5</v>
      </c>
      <c r="H14" s="11" t="str">
        <f aca="false">IF(E14=0,"Nouvelle page à écrire","Migration")</f>
        <v>Migration</v>
      </c>
      <c r="I14" s="13" t="s">
        <v>8</v>
      </c>
      <c r="J14" s="13"/>
    </row>
    <row r="15" customFormat="false" ht="15" hidden="false" customHeight="false" outlineLevel="0" collapsed="false">
      <c r="A15" s="11" t="s">
        <v>120</v>
      </c>
      <c r="B15" s="11" t="s">
        <v>121</v>
      </c>
      <c r="C15" s="11" t="s">
        <v>122</v>
      </c>
      <c r="D15" s="11" t="s">
        <v>55</v>
      </c>
      <c r="E15" s="11" t="n">
        <f aca="false">COUNTIF('Mapping des pages'!$I$5:$I$218,B15)</f>
        <v>6</v>
      </c>
      <c r="F15" s="11" t="n">
        <f aca="false">SUMIF('Mapping des pages'!$I$5:$I$218,B15,'Mapping des pages'!$F$5:$F$218)</f>
        <v>25</v>
      </c>
      <c r="G15" s="11" t="n">
        <f aca="false">SUMIF('Mapping des pages'!$I$5:$I$218,B15,'Mapping des pages'!$N$5:$N$218)</f>
        <v>6</v>
      </c>
      <c r="H15" s="11" t="str">
        <f aca="false">IF(E15=0,"Nouvelle page à écrire","Migration")</f>
        <v>Migration</v>
      </c>
      <c r="I15" s="13" t="s">
        <v>8</v>
      </c>
      <c r="J15" s="13"/>
    </row>
    <row r="16" customFormat="false" ht="15" hidden="false" customHeight="false" outlineLevel="0" collapsed="false">
      <c r="A16" s="11" t="s">
        <v>242</v>
      </c>
      <c r="B16" s="11" t="s">
        <v>252</v>
      </c>
      <c r="C16" s="11" t="s">
        <v>253</v>
      </c>
      <c r="D16" s="11" t="s">
        <v>210</v>
      </c>
      <c r="E16" s="11" t="n">
        <f aca="false">COUNTIF('Mapping des pages'!$I$5:$I$218,B16)</f>
        <v>1</v>
      </c>
      <c r="F16" s="11" t="n">
        <f aca="false">SUMIF('Mapping des pages'!$I$5:$I$218,B16,'Mapping des pages'!$F$5:$F$218)</f>
        <v>2</v>
      </c>
      <c r="G16" s="11" t="n">
        <f aca="false">SUMIF('Mapping des pages'!$I$5:$I$218,B16,'Mapping des pages'!$N$5:$N$218)</f>
        <v>1</v>
      </c>
      <c r="H16" s="11" t="str">
        <f aca="false">IF(E16=0,"Nouvelle page à écrire","Migration")</f>
        <v>Migration</v>
      </c>
      <c r="I16" s="13" t="s">
        <v>8</v>
      </c>
      <c r="J16" s="13"/>
    </row>
    <row r="17" customFormat="false" ht="15" hidden="false" customHeight="false" outlineLevel="0" collapsed="false">
      <c r="A17" s="11" t="s">
        <v>242</v>
      </c>
      <c r="B17" s="11" t="s">
        <v>257</v>
      </c>
      <c r="C17" s="11" t="s">
        <v>258</v>
      </c>
      <c r="D17" s="11" t="s">
        <v>210</v>
      </c>
      <c r="E17" s="11" t="n">
        <f aca="false">COUNTIF('Mapping des pages'!$I$5:$I$218,B17)</f>
        <v>2</v>
      </c>
      <c r="F17" s="11" t="n">
        <f aca="false">SUMIF('Mapping des pages'!$I$5:$I$218,B17,'Mapping des pages'!$F$5:$F$218)</f>
        <v>18</v>
      </c>
      <c r="G17" s="11" t="n">
        <f aca="false">SUMIF('Mapping des pages'!$I$5:$I$218,B17,'Mapping des pages'!$N$5:$N$218)</f>
        <v>2</v>
      </c>
      <c r="H17" s="11" t="str">
        <f aca="false">IF(E17=0,"Nouvelle page à écrire","Migration")</f>
        <v>Migration</v>
      </c>
      <c r="I17" s="13" t="s">
        <v>8</v>
      </c>
      <c r="J17" s="13"/>
    </row>
    <row r="18" customFormat="false" ht="15" hidden="false" customHeight="false" outlineLevel="0" collapsed="false">
      <c r="A18" s="11" t="s">
        <v>242</v>
      </c>
      <c r="B18" s="11" t="s">
        <v>243</v>
      </c>
      <c r="C18" s="11" t="s">
        <v>244</v>
      </c>
      <c r="D18" s="11" t="s">
        <v>210</v>
      </c>
      <c r="E18" s="11" t="n">
        <f aca="false">COUNTIF('Mapping des pages'!$I$5:$I$218,B18)</f>
        <v>3</v>
      </c>
      <c r="F18" s="11" t="n">
        <f aca="false">SUMIF('Mapping des pages'!$I$5:$I$218,B18,'Mapping des pages'!$F$5:$F$218)</f>
        <v>5</v>
      </c>
      <c r="G18" s="11" t="n">
        <f aca="false">SUMIF('Mapping des pages'!$I$5:$I$218,B18,'Mapping des pages'!$N$5:$N$218)</f>
        <v>3</v>
      </c>
      <c r="H18" s="11" t="str">
        <f aca="false">IF(E18=0,"Nouvelle page à écrire","Migration")</f>
        <v>Migration</v>
      </c>
      <c r="I18" s="13" t="s">
        <v>8</v>
      </c>
      <c r="J18" s="13"/>
    </row>
    <row r="19" customFormat="false" ht="15" hidden="false" customHeight="false" outlineLevel="0" collapsed="false">
      <c r="A19" s="11" t="s">
        <v>242</v>
      </c>
      <c r="B19" s="11" t="s">
        <v>248</v>
      </c>
      <c r="C19" s="11" t="s">
        <v>249</v>
      </c>
      <c r="D19" s="11" t="s">
        <v>210</v>
      </c>
      <c r="E19" s="11" t="n">
        <f aca="false">COUNTIF('Mapping des pages'!$I$5:$I$218,B19)</f>
        <v>7</v>
      </c>
      <c r="F19" s="11" t="n">
        <f aca="false">SUMIF('Mapping des pages'!$I$5:$I$218,B19,'Mapping des pages'!$F$5:$F$218)</f>
        <v>33</v>
      </c>
      <c r="G19" s="11" t="n">
        <f aca="false">SUMIF('Mapping des pages'!$I$5:$I$218,B19,'Mapping des pages'!$N$5:$N$218)</f>
        <v>7</v>
      </c>
      <c r="H19" s="11" t="str">
        <f aca="false">IF(E19=0,"Nouvelle page à écrire","Migration")</f>
        <v>Migration</v>
      </c>
      <c r="I19" s="13" t="s">
        <v>8</v>
      </c>
      <c r="J19" s="13"/>
    </row>
    <row r="20" customFormat="false" ht="15" hidden="false" customHeight="false" outlineLevel="0" collapsed="false">
      <c r="A20" s="11" t="s">
        <v>159</v>
      </c>
      <c r="B20" s="11" t="s">
        <v>331</v>
      </c>
      <c r="C20" s="11" t="s">
        <v>332</v>
      </c>
      <c r="D20" s="11" t="s">
        <v>55</v>
      </c>
      <c r="E20" s="11" t="n">
        <f aca="false">COUNTIF('Mapping des pages'!$I$5:$I$218,B20)</f>
        <v>2</v>
      </c>
      <c r="F20" s="11" t="n">
        <f aca="false">SUMIF('Mapping des pages'!$I$5:$I$218,B20,'Mapping des pages'!$F$5:$F$218)</f>
        <v>11</v>
      </c>
      <c r="G20" s="11" t="n">
        <f aca="false">SUMIF('Mapping des pages'!$I$5:$I$218,B20,'Mapping des pages'!$N$5:$N$218)</f>
        <v>2</v>
      </c>
      <c r="H20" s="11" t="str">
        <f aca="false">IF(E20=0,"Nouvelle page à écrire","Migration")</f>
        <v>Migration</v>
      </c>
      <c r="I20" s="13" t="s">
        <v>8</v>
      </c>
      <c r="J20" s="13"/>
    </row>
    <row r="21" customFormat="false" ht="15" hidden="false" customHeight="false" outlineLevel="0" collapsed="false">
      <c r="A21" s="11" t="s">
        <v>159</v>
      </c>
      <c r="B21" s="11" t="s">
        <v>165</v>
      </c>
      <c r="C21" s="11" t="s">
        <v>166</v>
      </c>
      <c r="D21" s="11" t="s">
        <v>55</v>
      </c>
      <c r="E21" s="11" t="n">
        <f aca="false">COUNTIF('Mapping des pages'!$I$5:$I$218,B21)</f>
        <v>2</v>
      </c>
      <c r="F21" s="11" t="n">
        <f aca="false">SUMIF('Mapping des pages'!$I$5:$I$218,B21,'Mapping des pages'!$F$5:$F$218)</f>
        <v>14</v>
      </c>
      <c r="G21" s="11" t="n">
        <f aca="false">SUMIF('Mapping des pages'!$I$5:$I$218,B21,'Mapping des pages'!$N$5:$N$218)</f>
        <v>2</v>
      </c>
      <c r="H21" s="11" t="str">
        <f aca="false">IF(E21=0,"Nouvelle page à écrire","Migration")</f>
        <v>Migration</v>
      </c>
      <c r="I21" s="13" t="s">
        <v>8</v>
      </c>
      <c r="J21" s="13"/>
    </row>
    <row r="22" customFormat="false" ht="15" hidden="false" customHeight="false" outlineLevel="0" collapsed="false">
      <c r="A22" s="11" t="s">
        <v>159</v>
      </c>
      <c r="B22" s="11" t="s">
        <v>336</v>
      </c>
      <c r="C22" s="11" t="s">
        <v>337</v>
      </c>
      <c r="D22" s="11" t="s">
        <v>55</v>
      </c>
      <c r="E22" s="11" t="n">
        <f aca="false">COUNTIF('Mapping des pages'!$I$5:$I$218,B22)</f>
        <v>1</v>
      </c>
      <c r="F22" s="11" t="n">
        <f aca="false">SUMIF('Mapping des pages'!$I$5:$I$218,B22,'Mapping des pages'!$F$5:$F$218)</f>
        <v>6</v>
      </c>
      <c r="G22" s="11" t="n">
        <f aca="false">SUMIF('Mapping des pages'!$I$5:$I$218,B22,'Mapping des pages'!$N$5:$N$218)</f>
        <v>1</v>
      </c>
      <c r="H22" s="11" t="str">
        <f aca="false">IF(E22=0,"Nouvelle page à écrire","Migration")</f>
        <v>Migration</v>
      </c>
      <c r="I22" s="13" t="s">
        <v>8</v>
      </c>
      <c r="J22" s="13"/>
    </row>
    <row r="23" customFormat="false" ht="15" hidden="false" customHeight="false" outlineLevel="0" collapsed="false">
      <c r="A23" s="11" t="s">
        <v>159</v>
      </c>
      <c r="B23" s="11" t="s">
        <v>160</v>
      </c>
      <c r="C23" s="11" t="s">
        <v>161</v>
      </c>
      <c r="D23" s="11" t="s">
        <v>55</v>
      </c>
      <c r="E23" s="11" t="n">
        <f aca="false">COUNTIF('Mapping des pages'!$I$5:$I$218,B23)</f>
        <v>4</v>
      </c>
      <c r="F23" s="11" t="n">
        <f aca="false">SUMIF('Mapping des pages'!$I$5:$I$218,B23,'Mapping des pages'!$F$5:$F$218)</f>
        <v>24</v>
      </c>
      <c r="G23" s="11" t="n">
        <f aca="false">SUMIF('Mapping des pages'!$I$5:$I$218,B23,'Mapping des pages'!$N$5:$N$218)</f>
        <v>3</v>
      </c>
      <c r="H23" s="11" t="str">
        <f aca="false">IF(E23=0,"Nouvelle page à écrire","Migration")</f>
        <v>Migration</v>
      </c>
      <c r="I23" s="13" t="s">
        <v>8</v>
      </c>
      <c r="J23" s="13"/>
    </row>
    <row r="24" customFormat="false" ht="15" hidden="false" customHeight="false" outlineLevel="0" collapsed="false">
      <c r="A24" s="11" t="s">
        <v>159</v>
      </c>
      <c r="B24" s="11" t="s">
        <v>472</v>
      </c>
      <c r="C24" s="11" t="s">
        <v>473</v>
      </c>
      <c r="D24" s="11" t="s">
        <v>55</v>
      </c>
      <c r="E24" s="11" t="n">
        <f aca="false">COUNTIF('Mapping des pages'!$I$5:$I$218,B24)</f>
        <v>1</v>
      </c>
      <c r="F24" s="11" t="n">
        <f aca="false">SUMIF('Mapping des pages'!$I$5:$I$218,B24,'Mapping des pages'!$F$5:$F$218)</f>
        <v>1</v>
      </c>
      <c r="G24" s="11" t="n">
        <f aca="false">SUMIF('Mapping des pages'!$I$5:$I$218,B24,'Mapping des pages'!$N$5:$N$218)</f>
        <v>1</v>
      </c>
      <c r="H24" s="11" t="str">
        <f aca="false">IF(E24=0,"Nouvelle page à écrire","Migration")</f>
        <v>Migration</v>
      </c>
      <c r="I24" s="13" t="s">
        <v>8</v>
      </c>
      <c r="J24" s="13"/>
    </row>
    <row r="25" customFormat="false" ht="15" hidden="false" customHeight="false" outlineLevel="0" collapsed="false">
      <c r="A25" s="11" t="s">
        <v>159</v>
      </c>
      <c r="B25" s="11" t="s">
        <v>669</v>
      </c>
      <c r="C25" s="11" t="s">
        <v>670</v>
      </c>
      <c r="D25" s="11" t="s">
        <v>55</v>
      </c>
      <c r="E25" s="11" t="n">
        <f aca="false">COUNTIF('Mapping des pages'!$I$5:$I$218,B25)</f>
        <v>0</v>
      </c>
      <c r="F25" s="11" t="n">
        <f aca="false">SUMIF('Mapping des pages'!$I$5:$I$218,B25,'Mapping des pages'!$F$5:$F$218)</f>
        <v>0</v>
      </c>
      <c r="G25" s="11" t="n">
        <f aca="false">SUMIF('Mapping des pages'!$I$5:$I$218,B25,'Mapping des pages'!$N$5:$N$218)</f>
        <v>0</v>
      </c>
      <c r="H25" s="11" t="str">
        <f aca="false">IF(E25=0,"Nouvelle page à écrire","Migration")</f>
        <v>Nouvelle page à écrire</v>
      </c>
      <c r="I25" s="13" t="s">
        <v>8</v>
      </c>
      <c r="J25" s="13"/>
    </row>
    <row r="26" customFormat="false" ht="15" hidden="false" customHeight="false" outlineLevel="0" collapsed="false">
      <c r="A26" s="11" t="s">
        <v>84</v>
      </c>
      <c r="B26" s="11" t="s">
        <v>136</v>
      </c>
      <c r="C26" s="11" t="s">
        <v>137</v>
      </c>
      <c r="D26" s="11" t="s">
        <v>55</v>
      </c>
      <c r="E26" s="11" t="n">
        <f aca="false">COUNTIF('Mapping des pages'!$I$5:$I$218,B26)</f>
        <v>3</v>
      </c>
      <c r="F26" s="11" t="n">
        <f aca="false">SUMIF('Mapping des pages'!$I$5:$I$218,B26,'Mapping des pages'!$F$5:$F$218)</f>
        <v>4</v>
      </c>
      <c r="G26" s="11" t="n">
        <f aca="false">SUMIF('Mapping des pages'!$I$5:$I$218,B26,'Mapping des pages'!$N$5:$N$218)</f>
        <v>3</v>
      </c>
      <c r="H26" s="11" t="str">
        <f aca="false">IF(E26=0,"Nouvelle page à écrire","Migration")</f>
        <v>Migration</v>
      </c>
      <c r="I26" s="13" t="s">
        <v>8</v>
      </c>
      <c r="J26" s="13"/>
    </row>
    <row r="27" customFormat="false" ht="15" hidden="false" customHeight="false" outlineLevel="0" collapsed="false">
      <c r="A27" s="11" t="s">
        <v>84</v>
      </c>
      <c r="B27" s="11" t="s">
        <v>176</v>
      </c>
      <c r="C27" s="11" t="s">
        <v>177</v>
      </c>
      <c r="D27" s="11" t="s">
        <v>55</v>
      </c>
      <c r="E27" s="11" t="n">
        <f aca="false">COUNTIF('Mapping des pages'!$I$5:$I$218,B27)</f>
        <v>8</v>
      </c>
      <c r="F27" s="11" t="n">
        <f aca="false">SUMIF('Mapping des pages'!$I$5:$I$218,B27,'Mapping des pages'!$F$5:$F$218)</f>
        <v>19</v>
      </c>
      <c r="G27" s="11" t="n">
        <f aca="false">SUMIF('Mapping des pages'!$I$5:$I$218,B27,'Mapping des pages'!$N$5:$N$218)</f>
        <v>10</v>
      </c>
      <c r="H27" s="11" t="str">
        <f aca="false">IF(E27=0,"Nouvelle page à écrire","Migration")</f>
        <v>Migration</v>
      </c>
      <c r="I27" s="13" t="s">
        <v>8</v>
      </c>
      <c r="J27" s="13"/>
    </row>
    <row r="28" customFormat="false" ht="15" hidden="false" customHeight="false" outlineLevel="0" collapsed="false">
      <c r="A28" s="11" t="s">
        <v>84</v>
      </c>
      <c r="B28" s="11" t="s">
        <v>141</v>
      </c>
      <c r="C28" s="11" t="s">
        <v>142</v>
      </c>
      <c r="D28" s="11" t="s">
        <v>55</v>
      </c>
      <c r="E28" s="11" t="n">
        <f aca="false">COUNTIF('Mapping des pages'!$I$5:$I$218,B28)</f>
        <v>9</v>
      </c>
      <c r="F28" s="11" t="n">
        <f aca="false">SUMIF('Mapping des pages'!$I$5:$I$218,B28,'Mapping des pages'!$F$5:$F$218)</f>
        <v>44</v>
      </c>
      <c r="G28" s="11" t="n">
        <f aca="false">SUMIF('Mapping des pages'!$I$5:$I$218,B28,'Mapping des pages'!$N$5:$N$218)</f>
        <v>9</v>
      </c>
      <c r="H28" s="11" t="str">
        <f aca="false">IF(E28=0,"Nouvelle page à écrire","Migration")</f>
        <v>Migration</v>
      </c>
      <c r="I28" s="13" t="s">
        <v>8</v>
      </c>
      <c r="J28" s="13"/>
    </row>
    <row r="29" customFormat="false" ht="15" hidden="false" customHeight="false" outlineLevel="0" collapsed="false">
      <c r="A29" s="11" t="s">
        <v>84</v>
      </c>
      <c r="B29" s="11" t="s">
        <v>149</v>
      </c>
      <c r="C29" s="11" t="s">
        <v>150</v>
      </c>
      <c r="D29" s="11" t="s">
        <v>55</v>
      </c>
      <c r="E29" s="11" t="n">
        <f aca="false">COUNTIF('Mapping des pages'!$I$5:$I$218,B29)</f>
        <v>3</v>
      </c>
      <c r="F29" s="11" t="n">
        <f aca="false">SUMIF('Mapping des pages'!$I$5:$I$218,B29,'Mapping des pages'!$F$5:$F$218)</f>
        <v>48</v>
      </c>
      <c r="G29" s="11" t="n">
        <f aca="false">SUMIF('Mapping des pages'!$I$5:$I$218,B29,'Mapping des pages'!$N$5:$N$218)</f>
        <v>3</v>
      </c>
      <c r="H29" s="11" t="str">
        <f aca="false">IF(E29=0,"Nouvelle page à écrire","Migration")</f>
        <v>Migration</v>
      </c>
      <c r="I29" s="13" t="s">
        <v>8</v>
      </c>
      <c r="J29" s="13"/>
    </row>
    <row r="30" customFormat="false" ht="15" hidden="false" customHeight="false" outlineLevel="0" collapsed="false">
      <c r="A30" s="11" t="s">
        <v>84</v>
      </c>
      <c r="B30" s="11" t="s">
        <v>489</v>
      </c>
      <c r="C30" s="11" t="s">
        <v>490</v>
      </c>
      <c r="D30" s="11" t="s">
        <v>55</v>
      </c>
      <c r="E30" s="11" t="n">
        <f aca="false">COUNTIF('Mapping des pages'!$I$5:$I$218,B30)</f>
        <v>2</v>
      </c>
      <c r="F30" s="11" t="n">
        <f aca="false">SUMIF('Mapping des pages'!$I$5:$I$218,B30,'Mapping des pages'!$F$5:$F$218)</f>
        <v>3</v>
      </c>
      <c r="G30" s="11" t="n">
        <f aca="false">SUMIF('Mapping des pages'!$I$5:$I$218,B30,'Mapping des pages'!$N$5:$N$218)</f>
        <v>2</v>
      </c>
      <c r="H30" s="11" t="str">
        <f aca="false">IF(E30=0,"Nouvelle page à écrire","Migration")</f>
        <v>Migration</v>
      </c>
      <c r="I30" s="13" t="s">
        <v>8</v>
      </c>
      <c r="J30" s="13"/>
    </row>
    <row r="31" customFormat="false" ht="15" hidden="false" customHeight="false" outlineLevel="0" collapsed="false">
      <c r="A31" s="11" t="s">
        <v>84</v>
      </c>
      <c r="B31" s="11" t="s">
        <v>485</v>
      </c>
      <c r="C31" s="11" t="s">
        <v>486</v>
      </c>
      <c r="D31" s="11" t="s">
        <v>55</v>
      </c>
      <c r="E31" s="11" t="n">
        <f aca="false">COUNTIF('Mapping des pages'!$I$5:$I$218,B31)</f>
        <v>1</v>
      </c>
      <c r="F31" s="11" t="n">
        <f aca="false">SUMIF('Mapping des pages'!$I$5:$I$218,B31,'Mapping des pages'!$F$5:$F$218)</f>
        <v>8</v>
      </c>
      <c r="G31" s="11" t="n">
        <f aca="false">SUMIF('Mapping des pages'!$I$5:$I$218,B31,'Mapping des pages'!$N$5:$N$218)</f>
        <v>2</v>
      </c>
      <c r="H31" s="11" t="str">
        <f aca="false">IF(E31=0,"Nouvelle page à écrire","Migration")</f>
        <v>Migration</v>
      </c>
      <c r="I31" s="13" t="s">
        <v>8</v>
      </c>
      <c r="J31" s="13"/>
    </row>
    <row r="32" customFormat="false" ht="15" hidden="false" customHeight="false" outlineLevel="0" collapsed="false">
      <c r="A32" s="11" t="s">
        <v>84</v>
      </c>
      <c r="B32" s="11" t="s">
        <v>498</v>
      </c>
      <c r="C32" s="11" t="s">
        <v>499</v>
      </c>
      <c r="D32" s="11" t="s">
        <v>55</v>
      </c>
      <c r="E32" s="11" t="n">
        <f aca="false">COUNTIF('Mapping des pages'!$I$5:$I$218,B32)</f>
        <v>1</v>
      </c>
      <c r="F32" s="11" t="n">
        <f aca="false">SUMIF('Mapping des pages'!$I$5:$I$218,B32,'Mapping des pages'!$F$5:$F$218)</f>
        <v>10</v>
      </c>
      <c r="G32" s="11" t="n">
        <f aca="false">SUMIF('Mapping des pages'!$I$5:$I$218,B32,'Mapping des pages'!$N$5:$N$218)</f>
        <v>1</v>
      </c>
      <c r="H32" s="11" t="str">
        <f aca="false">IF(E32=0,"Nouvelle page à écrire","Migration")</f>
        <v>Migration</v>
      </c>
      <c r="I32" s="13" t="s">
        <v>8</v>
      </c>
      <c r="J32" s="13"/>
    </row>
    <row r="33" customFormat="false" ht="15" hidden="false" customHeight="false" outlineLevel="0" collapsed="false">
      <c r="A33" s="11" t="s">
        <v>84</v>
      </c>
      <c r="B33" s="11" t="s">
        <v>494</v>
      </c>
      <c r="C33" s="11" t="s">
        <v>495</v>
      </c>
      <c r="D33" s="11" t="s">
        <v>55</v>
      </c>
      <c r="E33" s="11" t="n">
        <f aca="false">COUNTIF('Mapping des pages'!$I$5:$I$218,B33)</f>
        <v>1</v>
      </c>
      <c r="F33" s="11" t="n">
        <f aca="false">SUMIF('Mapping des pages'!$I$5:$I$218,B33,'Mapping des pages'!$F$5:$F$218)</f>
        <v>10</v>
      </c>
      <c r="G33" s="11" t="n">
        <f aca="false">SUMIF('Mapping des pages'!$I$5:$I$218,B33,'Mapping des pages'!$N$5:$N$218)</f>
        <v>1</v>
      </c>
      <c r="H33" s="11" t="str">
        <f aca="false">IF(E33=0,"Nouvelle page à écrire","Migration")</f>
        <v>Migration</v>
      </c>
      <c r="I33" s="13" t="s">
        <v>8</v>
      </c>
      <c r="J33" s="13"/>
    </row>
    <row r="34" customFormat="false" ht="15" hidden="false" customHeight="false" outlineLevel="0" collapsed="false">
      <c r="A34" s="11" t="s">
        <v>84</v>
      </c>
      <c r="B34" s="11" t="s">
        <v>189</v>
      </c>
      <c r="C34" s="11" t="s">
        <v>190</v>
      </c>
      <c r="D34" s="11" t="s">
        <v>55</v>
      </c>
      <c r="E34" s="11" t="n">
        <f aca="false">COUNTIF('Mapping des pages'!$I$5:$I$218,B34)</f>
        <v>5</v>
      </c>
      <c r="F34" s="11" t="n">
        <f aca="false">SUMIF('Mapping des pages'!$I$5:$I$218,B34,'Mapping des pages'!$F$5:$F$218)</f>
        <v>17</v>
      </c>
      <c r="G34" s="11" t="n">
        <f aca="false">SUMIF('Mapping des pages'!$I$5:$I$218,B34,'Mapping des pages'!$N$5:$N$218)</f>
        <v>5</v>
      </c>
      <c r="H34" s="11" t="str">
        <f aca="false">IF(E34=0,"Nouvelle page à écrire","Migration")</f>
        <v>Migration</v>
      </c>
      <c r="I34" s="13" t="s">
        <v>8</v>
      </c>
      <c r="J34" s="13"/>
    </row>
    <row r="35" customFormat="false" ht="15" hidden="false" customHeight="false" outlineLevel="0" collapsed="false">
      <c r="A35" s="11" t="s">
        <v>84</v>
      </c>
      <c r="B35" s="11" t="s">
        <v>200</v>
      </c>
      <c r="C35" s="11" t="s">
        <v>201</v>
      </c>
      <c r="D35" s="11" t="s">
        <v>55</v>
      </c>
      <c r="E35" s="11" t="n">
        <f aca="false">COUNTIF('Mapping des pages'!$I$5:$I$218,B35)</f>
        <v>2</v>
      </c>
      <c r="F35" s="11" t="n">
        <f aca="false">SUMIF('Mapping des pages'!$I$5:$I$218,B35,'Mapping des pages'!$F$5:$F$218)</f>
        <v>19</v>
      </c>
      <c r="G35" s="11" t="n">
        <f aca="false">SUMIF('Mapping des pages'!$I$5:$I$218,B35,'Mapping des pages'!$N$5:$N$218)</f>
        <v>4</v>
      </c>
      <c r="H35" s="11" t="str">
        <f aca="false">IF(E35=0,"Nouvelle page à écrire","Migration")</f>
        <v>Migration</v>
      </c>
      <c r="I35" s="13" t="s">
        <v>8</v>
      </c>
      <c r="J35" s="13"/>
    </row>
    <row r="36" customFormat="false" ht="15" hidden="false" customHeight="false" outlineLevel="0" collapsed="false">
      <c r="A36" s="11" t="s">
        <v>84</v>
      </c>
      <c r="B36" s="11" t="s">
        <v>193</v>
      </c>
      <c r="C36" s="11" t="s">
        <v>194</v>
      </c>
      <c r="D36" s="11" t="s">
        <v>55</v>
      </c>
      <c r="E36" s="11" t="n">
        <f aca="false">COUNTIF('Mapping des pages'!$I$5:$I$218,B36)</f>
        <v>3</v>
      </c>
      <c r="F36" s="11" t="n">
        <f aca="false">SUMIF('Mapping des pages'!$I$5:$I$218,B36,'Mapping des pages'!$F$5:$F$218)</f>
        <v>25</v>
      </c>
      <c r="G36" s="11" t="n">
        <f aca="false">SUMIF('Mapping des pages'!$I$5:$I$218,B36,'Mapping des pages'!$N$5:$N$218)</f>
        <v>3</v>
      </c>
      <c r="H36" s="11" t="str">
        <f aca="false">IF(E36=0,"Nouvelle page à écrire","Migration")</f>
        <v>Migration</v>
      </c>
      <c r="I36" s="13" t="s">
        <v>8</v>
      </c>
      <c r="J36" s="13"/>
    </row>
    <row r="37" customFormat="false" ht="15" hidden="false" customHeight="false" outlineLevel="0" collapsed="false">
      <c r="A37" s="11" t="s">
        <v>84</v>
      </c>
      <c r="B37" s="11" t="s">
        <v>85</v>
      </c>
      <c r="C37" s="11" t="s">
        <v>86</v>
      </c>
      <c r="D37" s="11" t="s">
        <v>55</v>
      </c>
      <c r="E37" s="11" t="n">
        <f aca="false">COUNTIF('Mapping des pages'!$I$5:$I$218,B37)</f>
        <v>5</v>
      </c>
      <c r="F37" s="11" t="n">
        <f aca="false">SUMIF('Mapping des pages'!$I$5:$I$218,B37,'Mapping des pages'!$F$5:$F$218)</f>
        <v>24</v>
      </c>
      <c r="G37" s="11" t="n">
        <f aca="false">SUMIF('Mapping des pages'!$I$5:$I$218,B37,'Mapping des pages'!$N$5:$N$218)</f>
        <v>5</v>
      </c>
      <c r="H37" s="11" t="str">
        <f aca="false">IF(E37=0,"Nouvelle page à écrire","Migration")</f>
        <v>Migration</v>
      </c>
      <c r="I37" s="13" t="s">
        <v>8</v>
      </c>
      <c r="J37" s="13"/>
    </row>
    <row r="38" customFormat="false" ht="15" hidden="false" customHeight="false" outlineLevel="0" collapsed="false">
      <c r="A38" s="11" t="s">
        <v>84</v>
      </c>
      <c r="B38" s="11" t="s">
        <v>99</v>
      </c>
      <c r="C38" s="11" t="s">
        <v>100</v>
      </c>
      <c r="D38" s="11" t="s">
        <v>55</v>
      </c>
      <c r="E38" s="11" t="n">
        <f aca="false">COUNTIF('Mapping des pages'!$I$5:$I$218,B38)</f>
        <v>8</v>
      </c>
      <c r="F38" s="11" t="n">
        <f aca="false">SUMIF('Mapping des pages'!$I$5:$I$218,B38,'Mapping des pages'!$F$5:$F$218)</f>
        <v>14</v>
      </c>
      <c r="G38" s="11" t="n">
        <f aca="false">SUMIF('Mapping des pages'!$I$5:$I$218,B38,'Mapping des pages'!$N$5:$N$218)</f>
        <v>10</v>
      </c>
      <c r="H38" s="11" t="str">
        <f aca="false">IF(E38=0,"Nouvelle page à écrire","Migration")</f>
        <v>Migration</v>
      </c>
      <c r="I38" s="13" t="s">
        <v>8</v>
      </c>
      <c r="J38" s="13"/>
    </row>
    <row r="39" customFormat="false" ht="15" hidden="false" customHeight="false" outlineLevel="0" collapsed="false">
      <c r="A39" s="11" t="s">
        <v>84</v>
      </c>
      <c r="B39" s="11" t="s">
        <v>91</v>
      </c>
      <c r="C39" s="11" t="s">
        <v>92</v>
      </c>
      <c r="D39" s="11" t="s">
        <v>55</v>
      </c>
      <c r="E39" s="11" t="n">
        <f aca="false">COUNTIF('Mapping des pages'!$I$5:$I$218,B39)</f>
        <v>3</v>
      </c>
      <c r="F39" s="11" t="n">
        <f aca="false">SUMIF('Mapping des pages'!$I$5:$I$218,B39,'Mapping des pages'!$F$5:$F$218)</f>
        <v>17</v>
      </c>
      <c r="G39" s="11" t="n">
        <f aca="false">SUMIF('Mapping des pages'!$I$5:$I$218,B39,'Mapping des pages'!$N$5:$N$218)</f>
        <v>3</v>
      </c>
      <c r="H39" s="11" t="str">
        <f aca="false">IF(E39=0,"Nouvelle page à écrire","Migration")</f>
        <v>Migration</v>
      </c>
      <c r="I39" s="13" t="s">
        <v>8</v>
      </c>
      <c r="J39" s="13"/>
    </row>
    <row r="40" customFormat="false" ht="15" hidden="false" customHeight="false" outlineLevel="0" collapsed="false">
      <c r="A40" s="11" t="s">
        <v>84</v>
      </c>
      <c r="B40" s="11" t="s">
        <v>390</v>
      </c>
      <c r="C40" s="11" t="s">
        <v>391</v>
      </c>
      <c r="D40" s="11" t="s">
        <v>210</v>
      </c>
      <c r="E40" s="11" t="n">
        <f aca="false">COUNTIF('Mapping des pages'!$I$5:$I$218,B40)</f>
        <v>2</v>
      </c>
      <c r="F40" s="11" t="n">
        <f aca="false">SUMIF('Mapping des pages'!$I$5:$I$218,B40,'Mapping des pages'!$F$5:$F$218)</f>
        <v>2</v>
      </c>
      <c r="G40" s="11" t="n">
        <f aca="false">SUMIF('Mapping des pages'!$I$5:$I$218,B40,'Mapping des pages'!$N$5:$N$218)</f>
        <v>1</v>
      </c>
      <c r="H40" s="11" t="str">
        <f aca="false">IF(E40=0,"Nouvelle page à écrire","Migration")</f>
        <v>Migration</v>
      </c>
      <c r="I40" s="13" t="s">
        <v>8</v>
      </c>
      <c r="J40" s="13"/>
    </row>
    <row r="41" customFormat="false" ht="15" hidden="false" customHeight="false" outlineLevel="0" collapsed="false">
      <c r="A41" s="11" t="s">
        <v>84</v>
      </c>
      <c r="B41" s="11" t="s">
        <v>394</v>
      </c>
      <c r="C41" s="11" t="s">
        <v>395</v>
      </c>
      <c r="D41" s="11" t="s">
        <v>210</v>
      </c>
      <c r="E41" s="11" t="n">
        <f aca="false">COUNTIF('Mapping des pages'!$I$5:$I$218,B41)</f>
        <v>1</v>
      </c>
      <c r="F41" s="11" t="n">
        <f aca="false">SUMIF('Mapping des pages'!$I$5:$I$218,B41,'Mapping des pages'!$F$5:$F$218)</f>
        <v>9</v>
      </c>
      <c r="G41" s="11" t="n">
        <f aca="false">SUMIF('Mapping des pages'!$I$5:$I$218,B41,'Mapping des pages'!$N$5:$N$218)</f>
        <v>1</v>
      </c>
      <c r="H41" s="11" t="str">
        <f aca="false">IF(E41=0,"Nouvelle page à écrire","Migration")</f>
        <v>Migration</v>
      </c>
      <c r="I41" s="13" t="s">
        <v>8</v>
      </c>
      <c r="J41" s="13"/>
    </row>
    <row r="42" customFormat="false" ht="15" hidden="false" customHeight="false" outlineLevel="0" collapsed="false">
      <c r="A42" s="11" t="s">
        <v>84</v>
      </c>
      <c r="B42" s="11" t="s">
        <v>386</v>
      </c>
      <c r="C42" s="11" t="s">
        <v>387</v>
      </c>
      <c r="D42" s="11" t="s">
        <v>210</v>
      </c>
      <c r="E42" s="11" t="n">
        <f aca="false">COUNTIF('Mapping des pages'!$I$5:$I$218,B42)</f>
        <v>2</v>
      </c>
      <c r="F42" s="11" t="n">
        <f aca="false">SUMIF('Mapping des pages'!$I$5:$I$218,B42,'Mapping des pages'!$F$5:$F$218)</f>
        <v>11</v>
      </c>
      <c r="G42" s="11" t="n">
        <f aca="false">SUMIF('Mapping des pages'!$I$5:$I$218,B42,'Mapping des pages'!$N$5:$N$218)</f>
        <v>2</v>
      </c>
      <c r="H42" s="11" t="str">
        <f aca="false">IF(E42=0,"Nouvelle page à écrire","Migration")</f>
        <v>Migration</v>
      </c>
      <c r="I42" s="13" t="s">
        <v>8</v>
      </c>
      <c r="J42" s="13"/>
    </row>
    <row r="43" customFormat="false" ht="15" hidden="false" customHeight="false" outlineLevel="0" collapsed="false">
      <c r="A43" s="11" t="s">
        <v>84</v>
      </c>
      <c r="B43" s="11" t="s">
        <v>353</v>
      </c>
      <c r="C43" s="11" t="s">
        <v>354</v>
      </c>
      <c r="D43" s="11" t="s">
        <v>210</v>
      </c>
      <c r="E43" s="11" t="n">
        <f aca="false">COUNTIF('Mapping des pages'!$I$5:$I$218,B43)</f>
        <v>2</v>
      </c>
      <c r="F43" s="11" t="n">
        <f aca="false">SUMIF('Mapping des pages'!$I$5:$I$218,B43,'Mapping des pages'!$F$5:$F$218)</f>
        <v>2</v>
      </c>
      <c r="G43" s="11" t="n">
        <f aca="false">SUMIF('Mapping des pages'!$I$5:$I$218,B43,'Mapping des pages'!$N$5:$N$218)</f>
        <v>1</v>
      </c>
      <c r="H43" s="11" t="str">
        <f aca="false">IF(E43=0,"Nouvelle page à écrire","Migration")</f>
        <v>Migration</v>
      </c>
      <c r="I43" s="13" t="s">
        <v>8</v>
      </c>
      <c r="J43" s="13"/>
    </row>
    <row r="44" customFormat="false" ht="15" hidden="false" customHeight="false" outlineLevel="0" collapsed="false">
      <c r="A44" s="11" t="s">
        <v>84</v>
      </c>
      <c r="B44" s="11" t="s">
        <v>357</v>
      </c>
      <c r="C44" s="11" t="s">
        <v>358</v>
      </c>
      <c r="D44" s="11" t="s">
        <v>210</v>
      </c>
      <c r="E44" s="11" t="n">
        <f aca="false">COUNTIF('Mapping des pages'!$I$5:$I$218,B44)</f>
        <v>2</v>
      </c>
      <c r="F44" s="11" t="n">
        <f aca="false">SUMIF('Mapping des pages'!$I$5:$I$218,B44,'Mapping des pages'!$F$5:$F$218)</f>
        <v>13</v>
      </c>
      <c r="G44" s="11" t="n">
        <f aca="false">SUMIF('Mapping des pages'!$I$5:$I$218,B44,'Mapping des pages'!$N$5:$N$218)</f>
        <v>3</v>
      </c>
      <c r="H44" s="11" t="str">
        <f aca="false">IF(E44=0,"Nouvelle page à écrire","Migration")</f>
        <v>Migration</v>
      </c>
      <c r="I44" s="13" t="s">
        <v>8</v>
      </c>
      <c r="J44" s="13"/>
    </row>
    <row r="45" customFormat="false" ht="15" hidden="false" customHeight="false" outlineLevel="0" collapsed="false">
      <c r="A45" s="11" t="s">
        <v>84</v>
      </c>
      <c r="B45" s="11" t="s">
        <v>361</v>
      </c>
      <c r="C45" s="11" t="s">
        <v>362</v>
      </c>
      <c r="D45" s="11" t="s">
        <v>210</v>
      </c>
      <c r="E45" s="11" t="n">
        <f aca="false">COUNTIF('Mapping des pages'!$I$5:$I$218,B45)</f>
        <v>3</v>
      </c>
      <c r="F45" s="11" t="n">
        <f aca="false">SUMIF('Mapping des pages'!$I$5:$I$218,B45,'Mapping des pages'!$F$5:$F$218)</f>
        <v>12</v>
      </c>
      <c r="G45" s="11" t="n">
        <f aca="false">SUMIF('Mapping des pages'!$I$5:$I$218,B45,'Mapping des pages'!$N$5:$N$218)</f>
        <v>3</v>
      </c>
      <c r="H45" s="11" t="str">
        <f aca="false">IF(E45=0,"Nouvelle page à écrire","Migration")</f>
        <v>Migration</v>
      </c>
      <c r="I45" s="13" t="s">
        <v>8</v>
      </c>
      <c r="J45" s="13"/>
    </row>
    <row r="46" customFormat="false" ht="15" hidden="false" customHeight="false" outlineLevel="0" collapsed="false">
      <c r="A46" s="11" t="s">
        <v>84</v>
      </c>
      <c r="B46" s="11" t="s">
        <v>367</v>
      </c>
      <c r="C46" s="11" t="s">
        <v>368</v>
      </c>
      <c r="D46" s="11" t="s">
        <v>210</v>
      </c>
      <c r="E46" s="11" t="n">
        <f aca="false">COUNTIF('Mapping des pages'!$I$5:$I$218,B46)</f>
        <v>1</v>
      </c>
      <c r="F46" s="11" t="n">
        <f aca="false">SUMIF('Mapping des pages'!$I$5:$I$218,B46,'Mapping des pages'!$F$5:$F$218)</f>
        <v>4</v>
      </c>
      <c r="G46" s="11" t="n">
        <f aca="false">SUMIF('Mapping des pages'!$I$5:$I$218,B46,'Mapping des pages'!$N$5:$N$218)</f>
        <v>1</v>
      </c>
      <c r="H46" s="11" t="str">
        <f aca="false">IF(E46=0,"Nouvelle page à écrire","Migration")</f>
        <v>Migration</v>
      </c>
      <c r="I46" s="13" t="s">
        <v>8</v>
      </c>
      <c r="J46" s="13"/>
    </row>
    <row r="47" customFormat="false" ht="23.85" hidden="false" customHeight="false" outlineLevel="0" collapsed="false">
      <c r="A47" s="11" t="s">
        <v>84</v>
      </c>
      <c r="B47" s="11" t="s">
        <v>502</v>
      </c>
      <c r="C47" s="11" t="s">
        <v>503</v>
      </c>
      <c r="D47" s="11" t="s">
        <v>504</v>
      </c>
      <c r="E47" s="11" t="n">
        <f aca="false">COUNTIF('Mapping des pages'!$I$5:$I$218,B47)</f>
        <v>4</v>
      </c>
      <c r="F47" s="11" t="n">
        <f aca="false">SUMIF('Mapping des pages'!$I$5:$I$218,B47,'Mapping des pages'!$F$5:$F$218)</f>
        <v>0</v>
      </c>
      <c r="G47" s="11" t="n">
        <f aca="false">SUMIF('Mapping des pages'!$I$5:$I$218,B47,'Mapping des pages'!$N$5:$N$218)</f>
        <v>0</v>
      </c>
      <c r="H47" s="11" t="str">
        <f aca="false">IF(E47=0,"Nouvelle page à écrire","Migration")</f>
        <v>Migration</v>
      </c>
      <c r="I47" s="13" t="s">
        <v>8</v>
      </c>
      <c r="J47" s="13"/>
    </row>
    <row r="48" customFormat="false" ht="23.85" hidden="false" customHeight="false" outlineLevel="0" collapsed="false">
      <c r="A48" s="11" t="s">
        <v>84</v>
      </c>
      <c r="B48" s="11" t="s">
        <v>510</v>
      </c>
      <c r="C48" s="11" t="s">
        <v>511</v>
      </c>
      <c r="D48" s="11" t="s">
        <v>504</v>
      </c>
      <c r="E48" s="11" t="n">
        <f aca="false">COUNTIF('Mapping des pages'!$I$5:$I$218,B48)</f>
        <v>1</v>
      </c>
      <c r="F48" s="11" t="n">
        <f aca="false">SUMIF('Mapping des pages'!$I$5:$I$218,B48,'Mapping des pages'!$F$5:$F$218)</f>
        <v>0</v>
      </c>
      <c r="G48" s="11" t="n">
        <f aca="false">SUMIF('Mapping des pages'!$I$5:$I$218,B48,'Mapping des pages'!$N$5:$N$218)</f>
        <v>0</v>
      </c>
      <c r="H48" s="11" t="str">
        <f aca="false">IF(E48=0,"Nouvelle page à écrire","Migration")</f>
        <v>Migration</v>
      </c>
      <c r="I48" s="13" t="s">
        <v>8</v>
      </c>
      <c r="J48" s="13"/>
    </row>
    <row r="49" customFormat="false" ht="15" hidden="false" customHeight="false" outlineLevel="0" collapsed="false">
      <c r="A49" s="11" t="s">
        <v>215</v>
      </c>
      <c r="B49" s="11" t="s">
        <v>222</v>
      </c>
      <c r="C49" s="11" t="s">
        <v>223</v>
      </c>
      <c r="D49" s="11" t="s">
        <v>55</v>
      </c>
      <c r="E49" s="11" t="n">
        <f aca="false">COUNTIF('Mapping des pages'!$I$5:$I$218,B49)</f>
        <v>3</v>
      </c>
      <c r="F49" s="11" t="n">
        <f aca="false">SUMIF('Mapping des pages'!$I$5:$I$218,B49,'Mapping des pages'!$F$5:$F$218)</f>
        <v>3</v>
      </c>
      <c r="G49" s="11" t="n">
        <f aca="false">SUMIF('Mapping des pages'!$I$5:$I$218,B49,'Mapping des pages'!$N$5:$N$218)</f>
        <v>3</v>
      </c>
      <c r="H49" s="11" t="str">
        <f aca="false">IF(E49=0,"Nouvelle page à écrire","Migration")</f>
        <v>Migration</v>
      </c>
      <c r="I49" s="13" t="s">
        <v>8</v>
      </c>
      <c r="J49" s="13"/>
    </row>
    <row r="50" customFormat="false" ht="15" hidden="false" customHeight="false" outlineLevel="0" collapsed="false">
      <c r="A50" s="11" t="s">
        <v>215</v>
      </c>
      <c r="B50" s="11" t="s">
        <v>317</v>
      </c>
      <c r="C50" s="11" t="s">
        <v>210</v>
      </c>
      <c r="D50" s="11" t="s">
        <v>210</v>
      </c>
      <c r="E50" s="11" t="n">
        <f aca="false">COUNTIF('Mapping des pages'!$I$5:$I$218,B50)</f>
        <v>5</v>
      </c>
      <c r="F50" s="11" t="n">
        <f aca="false">SUMIF('Mapping des pages'!$I$5:$I$218,B50,'Mapping des pages'!$F$5:$F$218)</f>
        <v>21</v>
      </c>
      <c r="G50" s="11" t="n">
        <f aca="false">SUMIF('Mapping des pages'!$I$5:$I$218,B50,'Mapping des pages'!$N$5:$N$218)</f>
        <v>5</v>
      </c>
      <c r="H50" s="11" t="str">
        <f aca="false">IF(E50=0,"Nouvelle page à écrire","Migration")</f>
        <v>Migration</v>
      </c>
      <c r="I50" s="13" t="s">
        <v>8</v>
      </c>
      <c r="J50" s="13"/>
    </row>
    <row r="51" customFormat="false" ht="15" hidden="false" customHeight="false" outlineLevel="0" collapsed="false">
      <c r="A51" s="11" t="s">
        <v>215</v>
      </c>
      <c r="B51" s="11" t="s">
        <v>543</v>
      </c>
      <c r="C51" s="11" t="s">
        <v>544</v>
      </c>
      <c r="D51" s="11" t="s">
        <v>544</v>
      </c>
      <c r="E51" s="11" t="n">
        <f aca="false">COUNTIF('Mapping des pages'!$I$5:$I$218,B51)</f>
        <v>6</v>
      </c>
      <c r="F51" s="11" t="n">
        <f aca="false">SUMIF('Mapping des pages'!$I$5:$I$218,B51,'Mapping des pages'!$F$5:$F$218)</f>
        <v>35</v>
      </c>
      <c r="G51" s="11" t="n">
        <f aca="false">SUMIF('Mapping des pages'!$I$5:$I$218,B51,'Mapping des pages'!$N$5:$N$218)</f>
        <v>5</v>
      </c>
      <c r="H51" s="11" t="str">
        <f aca="false">IF(E51=0,"Nouvelle page à écrire","Migration")</f>
        <v>Migration</v>
      </c>
      <c r="I51" s="13" t="s">
        <v>8</v>
      </c>
      <c r="J51" s="13"/>
    </row>
    <row r="52" customFormat="false" ht="15" hidden="false" customHeight="false" outlineLevel="0" collapsed="false">
      <c r="A52" s="11" t="s">
        <v>215</v>
      </c>
      <c r="B52" s="11" t="s">
        <v>227</v>
      </c>
      <c r="C52" s="11" t="s">
        <v>228</v>
      </c>
      <c r="D52" s="11" t="s">
        <v>228</v>
      </c>
      <c r="E52" s="11" t="n">
        <f aca="false">COUNTIF('Mapping des pages'!$I$5:$I$218,B52)</f>
        <v>8</v>
      </c>
      <c r="F52" s="11" t="n">
        <f aca="false">SUMIF('Mapping des pages'!$I$5:$I$218,B52,'Mapping des pages'!$F$5:$F$218)</f>
        <v>20</v>
      </c>
      <c r="G52" s="11" t="n">
        <f aca="false">SUMIF('Mapping des pages'!$I$5:$I$218,B52,'Mapping des pages'!$N$5:$N$218)</f>
        <v>6</v>
      </c>
      <c r="H52" s="11" t="str">
        <f aca="false">IF(E52=0,"Nouvelle page à écrire","Migration")</f>
        <v>Migration</v>
      </c>
      <c r="I52" s="13" t="s">
        <v>8</v>
      </c>
      <c r="J52" s="13"/>
    </row>
    <row r="53" customFormat="false" ht="15" hidden="false" customHeight="false" outlineLevel="0" collapsed="false">
      <c r="A53" s="11" t="s">
        <v>215</v>
      </c>
      <c r="B53" s="11" t="s">
        <v>216</v>
      </c>
      <c r="C53" s="11" t="s">
        <v>77</v>
      </c>
      <c r="D53" s="11" t="s">
        <v>77</v>
      </c>
      <c r="E53" s="11" t="n">
        <f aca="false">COUNTIF('Mapping des pages'!$I$5:$I$218,B53)</f>
        <v>8</v>
      </c>
      <c r="F53" s="11" t="n">
        <f aca="false">SUMIF('Mapping des pages'!$I$5:$I$218,B53,'Mapping des pages'!$F$5:$F$218)</f>
        <v>32</v>
      </c>
      <c r="G53" s="11" t="n">
        <f aca="false">SUMIF('Mapping des pages'!$I$5:$I$218,B53,'Mapping des pages'!$N$5:$N$218)</f>
        <v>7</v>
      </c>
      <c r="H53" s="11" t="str">
        <f aca="false">IF(E53=0,"Nouvelle page à écrire","Migration")</f>
        <v>Migration</v>
      </c>
      <c r="I53" s="13" t="s">
        <v>8</v>
      </c>
      <c r="J53" s="13"/>
    </row>
    <row r="54" customFormat="false" ht="15" hidden="false" customHeight="false" outlineLevel="0" collapsed="false">
      <c r="A54" s="11" t="s">
        <v>215</v>
      </c>
      <c r="B54" s="11" t="s">
        <v>594</v>
      </c>
      <c r="C54" s="11" t="s">
        <v>595</v>
      </c>
      <c r="D54" s="11" t="s">
        <v>595</v>
      </c>
      <c r="E54" s="11" t="n">
        <f aca="false">COUNTIF('Mapping des pages'!$I$5:$I$218,B54)</f>
        <v>6</v>
      </c>
      <c r="F54" s="11" t="n">
        <f aca="false">SUMIF('Mapping des pages'!$I$5:$I$218,B54,'Mapping des pages'!$F$5:$F$218)</f>
        <v>19</v>
      </c>
      <c r="G54" s="11" t="n">
        <f aca="false">SUMIF('Mapping des pages'!$I$5:$I$218,B54,'Mapping des pages'!$N$5:$N$218)</f>
        <v>5</v>
      </c>
      <c r="H54" s="11" t="str">
        <f aca="false">IF(E54=0,"Nouvelle page à écrire","Migration")</f>
        <v>Migration</v>
      </c>
      <c r="I54" s="13" t="s">
        <v>8</v>
      </c>
      <c r="J54" s="13"/>
    </row>
    <row r="55" customFormat="false" ht="15" hidden="false" customHeight="false" outlineLevel="0" collapsed="false">
      <c r="A55" s="11" t="s">
        <v>215</v>
      </c>
      <c r="B55" s="11" t="s">
        <v>527</v>
      </c>
      <c r="C55" s="11" t="s">
        <v>518</v>
      </c>
      <c r="D55" s="11" t="s">
        <v>518</v>
      </c>
      <c r="E55" s="11" t="n">
        <f aca="false">COUNTIF('Mapping des pages'!$I$5:$I$218,B55)</f>
        <v>3</v>
      </c>
      <c r="F55" s="11" t="n">
        <f aca="false">SUMIF('Mapping des pages'!$I$5:$I$218,B55,'Mapping des pages'!$F$5:$F$218)</f>
        <v>5</v>
      </c>
      <c r="G55" s="11" t="n">
        <f aca="false">SUMIF('Mapping des pages'!$I$5:$I$218,B55,'Mapping des pages'!$N$5:$N$218)</f>
        <v>3</v>
      </c>
      <c r="H55" s="11" t="str">
        <f aca="false">IF(E55=0,"Nouvelle page à écrire","Migration")</f>
        <v>Migration</v>
      </c>
      <c r="I55" s="13" t="s">
        <v>8</v>
      </c>
      <c r="J55" s="13"/>
    </row>
    <row r="56" customFormat="false" ht="15" hidden="false" customHeight="false" outlineLevel="0" collapsed="false">
      <c r="A56" s="11" t="s">
        <v>215</v>
      </c>
      <c r="B56" s="11" t="s">
        <v>535</v>
      </c>
      <c r="C56" s="11" t="s">
        <v>536</v>
      </c>
      <c r="D56" s="11" t="s">
        <v>536</v>
      </c>
      <c r="E56" s="11" t="n">
        <f aca="false">COUNTIF('Mapping des pages'!$I$5:$I$218,B56)</f>
        <v>2</v>
      </c>
      <c r="F56" s="11" t="n">
        <f aca="false">SUMIF('Mapping des pages'!$I$5:$I$218,B56,'Mapping des pages'!$F$5:$F$218)</f>
        <v>3</v>
      </c>
      <c r="G56" s="11" t="n">
        <f aca="false">SUMIF('Mapping des pages'!$I$5:$I$218,B56,'Mapping des pages'!$N$5:$N$218)</f>
        <v>2</v>
      </c>
      <c r="H56" s="11" t="str">
        <f aca="false">IF(E56=0,"Nouvelle page à écrire","Migration")</f>
        <v>Migration</v>
      </c>
      <c r="I56" s="13" t="s">
        <v>8</v>
      </c>
      <c r="J56" s="13"/>
    </row>
    <row r="57" customFormat="false" ht="15" hidden="false" customHeight="false" outlineLevel="0" collapsed="false">
      <c r="A57" s="11" t="s">
        <v>215</v>
      </c>
      <c r="B57" s="11" t="s">
        <v>624</v>
      </c>
      <c r="C57" s="11" t="s">
        <v>625</v>
      </c>
      <c r="D57" s="11" t="s">
        <v>625</v>
      </c>
      <c r="E57" s="11" t="n">
        <f aca="false">COUNTIF('Mapping des pages'!$I$5:$I$218,B57)</f>
        <v>4</v>
      </c>
      <c r="F57" s="11" t="n">
        <f aca="false">SUMIF('Mapping des pages'!$I$5:$I$218,B57,'Mapping des pages'!$F$5:$F$218)</f>
        <v>6</v>
      </c>
      <c r="G57" s="11" t="n">
        <f aca="false">SUMIF('Mapping des pages'!$I$5:$I$218,B57,'Mapping des pages'!$N$5:$N$218)</f>
        <v>3</v>
      </c>
      <c r="H57" s="11" t="str">
        <f aca="false">IF(E57=0,"Nouvelle page à écrire","Migration")</f>
        <v>Migration</v>
      </c>
      <c r="I57" s="13" t="s">
        <v>8</v>
      </c>
      <c r="J57" s="13"/>
    </row>
    <row r="58" customFormat="false" ht="15" hidden="false" customHeight="false" outlineLevel="0" collapsed="false">
      <c r="A58" s="11" t="s">
        <v>284</v>
      </c>
      <c r="B58" s="11" t="s">
        <v>285</v>
      </c>
      <c r="C58" s="11" t="s">
        <v>286</v>
      </c>
      <c r="D58" s="11" t="s">
        <v>55</v>
      </c>
      <c r="E58" s="11" t="n">
        <f aca="false">COUNTIF('Mapping des pages'!$I$5:$I$218,B58)</f>
        <v>18</v>
      </c>
      <c r="F58" s="11" t="n">
        <f aca="false">SUMIF('Mapping des pages'!$I$5:$I$218,B58,'Mapping des pages'!$F$5:$F$218)</f>
        <v>11</v>
      </c>
      <c r="G58" s="11" t="n">
        <f aca="false">SUMIF('Mapping des pages'!$I$5:$I$218,B58,'Mapping des pages'!$N$5:$N$218)</f>
        <v>9</v>
      </c>
      <c r="H58" s="11" t="str">
        <f aca="false">IF(E58=0,"Nouvelle page à écrire","Migration")</f>
        <v>Migration</v>
      </c>
      <c r="I58" s="13" t="s">
        <v>8</v>
      </c>
      <c r="J58" s="13"/>
    </row>
    <row r="59" customFormat="false" ht="15" hidden="false" customHeight="false" outlineLevel="0" collapsed="false">
      <c r="A59" s="11" t="s">
        <v>284</v>
      </c>
      <c r="B59" s="11" t="s">
        <v>648</v>
      </c>
      <c r="C59" s="11" t="s">
        <v>649</v>
      </c>
      <c r="D59" s="11" t="s">
        <v>55</v>
      </c>
      <c r="E59" s="11" t="n">
        <f aca="false">COUNTIF('Mapping des pages'!$I$5:$I$218,B59)</f>
        <v>2</v>
      </c>
      <c r="F59" s="11" t="n">
        <f aca="false">SUMIF('Mapping des pages'!$I$5:$I$218,B59,'Mapping des pages'!$F$5:$F$218)</f>
        <v>2</v>
      </c>
      <c r="G59" s="11" t="n">
        <f aca="false">SUMIF('Mapping des pages'!$I$5:$I$218,B59,'Mapping des pages'!$N$5:$N$218)</f>
        <v>2</v>
      </c>
      <c r="H59" s="11" t="str">
        <f aca="false">IF(E59=0,"Nouvelle page à écrire","Migration")</f>
        <v>Migration</v>
      </c>
      <c r="I59" s="13" t="s">
        <v>8</v>
      </c>
      <c r="J59" s="13"/>
    </row>
    <row r="60" customFormat="false" ht="15" hidden="false" customHeight="false" outlineLevel="0" collapsed="false">
      <c r="A60" s="11" t="s">
        <v>284</v>
      </c>
      <c r="B60" s="11" t="s">
        <v>655</v>
      </c>
      <c r="C60" s="11" t="s">
        <v>656</v>
      </c>
      <c r="D60" s="11" t="s">
        <v>55</v>
      </c>
      <c r="E60" s="11" t="n">
        <f aca="false">COUNTIF('Mapping des pages'!$I$5:$I$218,B60)</f>
        <v>1</v>
      </c>
      <c r="F60" s="11" t="n">
        <f aca="false">SUMIF('Mapping des pages'!$I$5:$I$218,B60,'Mapping des pages'!$F$5:$F$218)</f>
        <v>0</v>
      </c>
      <c r="G60" s="11" t="n">
        <f aca="false">SUMIF('Mapping des pages'!$I$5:$I$218,B60,'Mapping des pages'!$N$5:$N$218)</f>
        <v>0</v>
      </c>
      <c r="H60" s="11" t="str">
        <f aca="false">IF(E60=0,"Nouvelle page à écrire","Migration")</f>
        <v>Migration</v>
      </c>
      <c r="I60" s="13" t="s">
        <v>8</v>
      </c>
      <c r="J60" s="13"/>
    </row>
    <row r="61" customFormat="false" ht="15" hidden="false" customHeight="false" outlineLevel="0" collapsed="false">
      <c r="A61" s="11" t="s">
        <v>207</v>
      </c>
      <c r="B61" s="11" t="s">
        <v>269</v>
      </c>
      <c r="C61" s="11" t="s">
        <v>270</v>
      </c>
      <c r="D61" s="11" t="s">
        <v>210</v>
      </c>
      <c r="E61" s="11" t="n">
        <f aca="false">COUNTIF('Mapping des pages'!$I$5:$I$218,B61)</f>
        <v>4</v>
      </c>
      <c r="F61" s="11" t="n">
        <f aca="false">SUMIF('Mapping des pages'!$I$5:$I$218,B61,'Mapping des pages'!$F$5:$F$218)</f>
        <v>3</v>
      </c>
      <c r="G61" s="11" t="n">
        <f aca="false">SUMIF('Mapping des pages'!$I$5:$I$218,B61,'Mapping des pages'!$N$5:$N$218)</f>
        <v>2</v>
      </c>
      <c r="H61" s="11" t="str">
        <f aca="false">IF(E61=0,"Nouvelle page à écrire","Migration")</f>
        <v>Migration</v>
      </c>
      <c r="I61" s="13" t="s">
        <v>8</v>
      </c>
      <c r="J61" s="13"/>
    </row>
    <row r="62" customFormat="false" ht="15" hidden="false" customHeight="false" outlineLevel="0" collapsed="false">
      <c r="A62" s="11" t="s">
        <v>207</v>
      </c>
      <c r="B62" s="11" t="s">
        <v>232</v>
      </c>
      <c r="C62" s="11" t="s">
        <v>233</v>
      </c>
      <c r="D62" s="11" t="s">
        <v>55</v>
      </c>
      <c r="E62" s="11" t="n">
        <f aca="false">COUNTIF('Mapping des pages'!$I$5:$I$218,B62)</f>
        <v>6</v>
      </c>
      <c r="F62" s="11" t="n">
        <f aca="false">SUMIF('Mapping des pages'!$I$5:$I$218,B62,'Mapping des pages'!$F$5:$F$218)</f>
        <v>8</v>
      </c>
      <c r="G62" s="11" t="n">
        <f aca="false">SUMIF('Mapping des pages'!$I$5:$I$218,B62,'Mapping des pages'!$N$5:$N$218)</f>
        <v>5</v>
      </c>
      <c r="H62" s="11" t="str">
        <f aca="false">IF(E62=0,"Nouvelle page à écrire","Migration")</f>
        <v>Migration</v>
      </c>
      <c r="I62" s="13" t="s">
        <v>8</v>
      </c>
      <c r="J62" s="13"/>
    </row>
    <row r="63" customFormat="false" ht="15" hidden="false" customHeight="false" outlineLevel="0" collapsed="false">
      <c r="A63" s="11" t="s">
        <v>207</v>
      </c>
      <c r="B63" s="11" t="s">
        <v>208</v>
      </c>
      <c r="C63" s="11" t="s">
        <v>209</v>
      </c>
      <c r="D63" s="11" t="s">
        <v>210</v>
      </c>
      <c r="E63" s="11" t="n">
        <f aca="false">COUNTIF('Mapping des pages'!$I$5:$I$218,B63)</f>
        <v>2</v>
      </c>
      <c r="F63" s="11" t="n">
        <f aca="false">SUMIF('Mapping des pages'!$I$5:$I$218,B63,'Mapping des pages'!$F$5:$F$218)</f>
        <v>4</v>
      </c>
      <c r="G63" s="11" t="n">
        <f aca="false">SUMIF('Mapping des pages'!$I$5:$I$218,B63,'Mapping des pages'!$N$5:$N$218)</f>
        <v>2</v>
      </c>
      <c r="H63" s="11" t="str">
        <f aca="false">IF(E63=0,"Nouvelle page à écrire","Migration")</f>
        <v>Migration</v>
      </c>
      <c r="I63" s="13" t="s">
        <v>8</v>
      </c>
      <c r="J63" s="13"/>
    </row>
    <row r="64" customFormat="false" ht="15" hidden="false" customHeight="false" outlineLevel="0" collapsed="false">
      <c r="A64" s="11" t="s">
        <v>207</v>
      </c>
      <c r="B64" s="11" t="s">
        <v>275</v>
      </c>
      <c r="C64" s="11" t="s">
        <v>276</v>
      </c>
      <c r="D64" s="11" t="s">
        <v>55</v>
      </c>
      <c r="E64" s="11" t="n">
        <f aca="false">COUNTIF('Mapping des pages'!$I$5:$I$218,B64)</f>
        <v>1</v>
      </c>
      <c r="F64" s="11" t="n">
        <f aca="false">SUMIF('Mapping des pages'!$I$5:$I$218,B64,'Mapping des pages'!$F$5:$F$218)</f>
        <v>1</v>
      </c>
      <c r="G64" s="11" t="n">
        <f aca="false">SUMIF('Mapping des pages'!$I$5:$I$218,B64,'Mapping des pages'!$N$5:$N$218)</f>
        <v>1</v>
      </c>
      <c r="H64" s="11" t="str">
        <f aca="false">IF(E64=0,"Nouvelle page à écrire","Migration")</f>
        <v>Migration</v>
      </c>
      <c r="I64" s="13" t="s">
        <v>8</v>
      </c>
      <c r="J64" s="13"/>
    </row>
    <row r="65" customFormat="false" ht="15" hidden="false" customHeight="false" outlineLevel="0" collapsed="false">
      <c r="A65" s="11" t="s">
        <v>262</v>
      </c>
      <c r="B65" s="11" t="s">
        <v>671</v>
      </c>
      <c r="C65" s="11" t="s">
        <v>672</v>
      </c>
      <c r="D65" s="11" t="s">
        <v>55</v>
      </c>
      <c r="E65" s="11" t="n">
        <f aca="false">COUNTIF('Mapping des pages'!$I$5:$I$218,B65)</f>
        <v>0</v>
      </c>
      <c r="F65" s="11" t="n">
        <f aca="false">SUMIF('Mapping des pages'!$I$5:$I$218,B65,'Mapping des pages'!$F$5:$F$218)</f>
        <v>0</v>
      </c>
      <c r="G65" s="11" t="n">
        <f aca="false">SUMIF('Mapping des pages'!$I$5:$I$218,B65,'Mapping des pages'!$N$5:$N$218)</f>
        <v>0</v>
      </c>
      <c r="H65" s="11" t="str">
        <f aca="false">IF(E65=0,"Nouvelle page à écrire","Migration")</f>
        <v>Nouvelle page à écrire</v>
      </c>
      <c r="I65" s="13" t="s">
        <v>8</v>
      </c>
      <c r="J65" s="13"/>
    </row>
    <row r="66" customFormat="false" ht="15" hidden="false" customHeight="false" outlineLevel="0" collapsed="false">
      <c r="A66" s="11" t="s">
        <v>262</v>
      </c>
      <c r="B66" s="11" t="s">
        <v>673</v>
      </c>
      <c r="C66" s="11" t="s">
        <v>674</v>
      </c>
      <c r="D66" s="11" t="s">
        <v>55</v>
      </c>
      <c r="E66" s="11" t="n">
        <f aca="false">COUNTIF('Mapping des pages'!$I$5:$I$218,B66)</f>
        <v>0</v>
      </c>
      <c r="F66" s="11" t="n">
        <f aca="false">SUMIF('Mapping des pages'!$I$5:$I$218,B66,'Mapping des pages'!$F$5:$F$218)</f>
        <v>0</v>
      </c>
      <c r="G66" s="11" t="n">
        <f aca="false">SUMIF('Mapping des pages'!$I$5:$I$218,B66,'Mapping des pages'!$N$5:$N$218)</f>
        <v>0</v>
      </c>
      <c r="H66" s="11" t="str">
        <f aca="false">IF(E66=0,"Nouvelle page à écrire","Migration")</f>
        <v>Nouvelle page à écrire</v>
      </c>
      <c r="I66" s="13" t="s">
        <v>8</v>
      </c>
      <c r="J66" s="13"/>
    </row>
    <row r="67" customFormat="false" ht="15" hidden="false" customHeight="false" outlineLevel="0" collapsed="false">
      <c r="A67" s="11" t="s">
        <v>262</v>
      </c>
      <c r="B67" s="11" t="s">
        <v>675</v>
      </c>
      <c r="C67" s="11" t="s">
        <v>676</v>
      </c>
      <c r="D67" s="11" t="s">
        <v>55</v>
      </c>
      <c r="E67" s="11" t="n">
        <f aca="false">COUNTIF('Mapping des pages'!$I$5:$I$218,B67)</f>
        <v>0</v>
      </c>
      <c r="F67" s="11" t="n">
        <f aca="false">SUMIF('Mapping des pages'!$I$5:$I$218,B67,'Mapping des pages'!$F$5:$F$218)</f>
        <v>0</v>
      </c>
      <c r="G67" s="11" t="n">
        <f aca="false">SUMIF('Mapping des pages'!$I$5:$I$218,B67,'Mapping des pages'!$N$5:$N$218)</f>
        <v>0</v>
      </c>
      <c r="H67" s="11" t="str">
        <f aca="false">IF(E67=0,"Nouvelle page à écrire","Migration")</f>
        <v>Nouvelle page à écrire</v>
      </c>
      <c r="I67" s="13" t="s">
        <v>8</v>
      </c>
      <c r="J67" s="13"/>
    </row>
    <row r="68" customFormat="false" ht="15" hidden="false" customHeight="false" outlineLevel="0" collapsed="false">
      <c r="A68" s="11" t="s">
        <v>262</v>
      </c>
      <c r="B68" s="11" t="s">
        <v>263</v>
      </c>
      <c r="C68" s="11" t="s">
        <v>264</v>
      </c>
      <c r="D68" s="11" t="s">
        <v>55</v>
      </c>
      <c r="E68" s="11" t="n">
        <f aca="false">COUNTIF('Mapping des pages'!$I$5:$I$218,B68)</f>
        <v>1</v>
      </c>
      <c r="F68" s="11" t="n">
        <f aca="false">SUMIF('Mapping des pages'!$I$5:$I$218,B68,'Mapping des pages'!$F$5:$F$218)</f>
        <v>3</v>
      </c>
      <c r="G68" s="11" t="n">
        <f aca="false">SUMIF('Mapping des pages'!$I$5:$I$218,B68,'Mapping des pages'!$N$5:$N$218)</f>
        <v>1</v>
      </c>
      <c r="H68" s="11" t="str">
        <f aca="false">IF(E68=0,"Nouvelle page à écrire","Migration")</f>
        <v>Migration</v>
      </c>
      <c r="I68" s="13" t="s">
        <v>8</v>
      </c>
      <c r="J68" s="13"/>
    </row>
    <row r="69" customFormat="false" ht="15" hidden="false" customHeight="false" outlineLevel="0" collapsed="false">
      <c r="A69" s="11" t="s">
        <v>262</v>
      </c>
      <c r="B69" s="11" t="s">
        <v>643</v>
      </c>
      <c r="C69" s="11" t="s">
        <v>644</v>
      </c>
      <c r="D69" s="11" t="s">
        <v>55</v>
      </c>
      <c r="E69" s="11" t="n">
        <f aca="false">COUNTIF('Mapping des pages'!$I$5:$I$218,B69)</f>
        <v>1</v>
      </c>
      <c r="F69" s="11" t="n">
        <f aca="false">SUMIF('Mapping des pages'!$I$5:$I$218,B69,'Mapping des pages'!$F$5:$F$218)</f>
        <v>0</v>
      </c>
      <c r="G69" s="11" t="n">
        <f aca="false">SUMIF('Mapping des pages'!$I$5:$I$218,B69,'Mapping des pages'!$N$5:$N$218)</f>
        <v>0</v>
      </c>
      <c r="H69" s="11" t="str">
        <f aca="false">IF(E69=0,"Nouvelle page à écrire","Migration")</f>
        <v>Migration</v>
      </c>
      <c r="I69" s="13" t="s">
        <v>8</v>
      </c>
      <c r="J69" s="13"/>
    </row>
    <row r="70" customFormat="false" ht="15" hidden="false" customHeight="false" outlineLevel="0" collapsed="false">
      <c r="A70" s="11" t="s">
        <v>52</v>
      </c>
      <c r="B70" s="11" t="s">
        <v>53</v>
      </c>
      <c r="C70" s="11" t="s">
        <v>54</v>
      </c>
      <c r="D70" s="11" t="s">
        <v>55</v>
      </c>
      <c r="E70" s="11" t="n">
        <f aca="false">COUNTIF('Mapping des pages'!$I$5:$I$218,B70)</f>
        <v>3</v>
      </c>
      <c r="F70" s="11" t="n">
        <f aca="false">SUMIF('Mapping des pages'!$I$5:$I$218,B70,'Mapping des pages'!$F$5:$F$218)</f>
        <v>0</v>
      </c>
      <c r="G70" s="11" t="n">
        <f aca="false">SUMIF('Mapping des pages'!$I$5:$I$218,B70,'Mapping des pages'!$N$5:$N$218)</f>
        <v>0</v>
      </c>
      <c r="H70" s="11" t="str">
        <f aca="false">IF(E70=0,"Nouvelle page à écrire","Migration")</f>
        <v>Migration</v>
      </c>
      <c r="I70" s="13" t="s">
        <v>8</v>
      </c>
      <c r="J70" s="13"/>
    </row>
    <row r="71" customFormat="false" ht="15" hidden="false" customHeight="false" outlineLevel="0" collapsed="false">
      <c r="A71" s="11" t="s">
        <v>52</v>
      </c>
      <c r="B71" s="11" t="s">
        <v>65</v>
      </c>
      <c r="C71" s="11" t="s">
        <v>66</v>
      </c>
      <c r="D71" s="11" t="s">
        <v>55</v>
      </c>
      <c r="E71" s="11" t="n">
        <f aca="false">COUNTIF('Mapping des pages'!$I$5:$I$218,B71)</f>
        <v>4</v>
      </c>
      <c r="F71" s="11" t="n">
        <f aca="false">SUMIF('Mapping des pages'!$I$5:$I$218,B71,'Mapping des pages'!$F$5:$F$218)</f>
        <v>0</v>
      </c>
      <c r="G71" s="11" t="n">
        <f aca="false">SUMIF('Mapping des pages'!$I$5:$I$218,B71,'Mapping des pages'!$N$5:$N$218)</f>
        <v>0</v>
      </c>
      <c r="H71" s="11" t="str">
        <f aca="false">IF(E71=0,"Nouvelle page à écrire","Migration")</f>
        <v>Migration</v>
      </c>
      <c r="I71" s="13" t="s">
        <v>8</v>
      </c>
      <c r="J71" s="13"/>
    </row>
    <row r="72" customFormat="false" ht="15" hidden="false" customHeight="false" outlineLevel="0" collapsed="false">
      <c r="A72" s="11" t="s">
        <v>52</v>
      </c>
      <c r="B72" s="11" t="s">
        <v>75</v>
      </c>
      <c r="C72" s="11" t="s">
        <v>76</v>
      </c>
      <c r="D72" s="11" t="s">
        <v>77</v>
      </c>
      <c r="E72" s="11" t="n">
        <f aca="false">COUNTIF('Mapping des pages'!$I$5:$I$218,B72)</f>
        <v>1</v>
      </c>
      <c r="F72" s="11" t="n">
        <f aca="false">SUMIF('Mapping des pages'!$I$5:$I$218,B72,'Mapping des pages'!$F$5:$F$218)</f>
        <v>0</v>
      </c>
      <c r="G72" s="11" t="n">
        <f aca="false">SUMIF('Mapping des pages'!$I$5:$I$218,B72,'Mapping des pages'!$N$5:$N$218)</f>
        <v>0</v>
      </c>
      <c r="H72" s="11" t="str">
        <f aca="false">IF(E72=0,"Nouvelle page à écrire","Migration")</f>
        <v>Migration</v>
      </c>
      <c r="I72" s="13" t="s">
        <v>8</v>
      </c>
      <c r="J72" s="13"/>
    </row>
    <row r="73" customFormat="false" ht="15" hidden="false" customHeight="false" outlineLevel="0" collapsed="false">
      <c r="A73" s="11" t="s">
        <v>52</v>
      </c>
      <c r="B73" s="11" t="s">
        <v>516</v>
      </c>
      <c r="C73" s="11" t="s">
        <v>517</v>
      </c>
      <c r="D73" s="11" t="s">
        <v>518</v>
      </c>
      <c r="E73" s="11" t="n">
        <f aca="false">COUNTIF('Mapping des pages'!$I$5:$I$218,B73)</f>
        <v>1</v>
      </c>
      <c r="F73" s="11" t="n">
        <f aca="false">SUMIF('Mapping des pages'!$I$5:$I$218,B73,'Mapping des pages'!$F$5:$F$218)</f>
        <v>0</v>
      </c>
      <c r="G73" s="11" t="n">
        <f aca="false">SUMIF('Mapping des pages'!$I$5:$I$218,B73,'Mapping des pages'!$N$5:$N$218)</f>
        <v>0</v>
      </c>
      <c r="H73" s="11" t="str">
        <f aca="false">IF(E73=0,"Nouvelle page à écrire","Migration")</f>
        <v>Migration</v>
      </c>
      <c r="I73" s="13" t="s">
        <v>8</v>
      </c>
      <c r="J73" s="13"/>
    </row>
    <row r="74" customFormat="false" ht="15" hidden="false" customHeight="false" outlineLevel="0" collapsed="false">
      <c r="A74" s="11" t="s">
        <v>52</v>
      </c>
      <c r="B74" s="11" t="s">
        <v>522</v>
      </c>
      <c r="C74" s="11" t="s">
        <v>523</v>
      </c>
      <c r="D74" s="11" t="s">
        <v>524</v>
      </c>
      <c r="E74" s="11" t="n">
        <f aca="false">COUNTIF('Mapping des pages'!$I$5:$I$218,B74)</f>
        <v>1</v>
      </c>
      <c r="F74" s="11" t="n">
        <f aca="false">SUMIF('Mapping des pages'!$I$5:$I$218,B74,'Mapping des pages'!$F$5:$F$218)</f>
        <v>0</v>
      </c>
      <c r="G74" s="11" t="n">
        <f aca="false">SUMIF('Mapping des pages'!$I$5:$I$218,B74,'Mapping des pages'!$N$5:$N$218)</f>
        <v>0</v>
      </c>
      <c r="H74" s="11" t="str">
        <f aca="false">IF(E74=0,"Nouvelle page à écrire","Migration")</f>
        <v>Migration</v>
      </c>
      <c r="I74" s="13" t="s">
        <v>8</v>
      </c>
      <c r="J74" s="13"/>
    </row>
    <row r="75" customFormat="false" ht="15" hidden="false" customHeight="false" outlineLevel="0" collapsed="false">
      <c r="A75" s="11" t="s">
        <v>52</v>
      </c>
      <c r="B75" s="11" t="s">
        <v>547</v>
      </c>
      <c r="C75" s="11" t="s">
        <v>548</v>
      </c>
      <c r="D75" s="11" t="s">
        <v>544</v>
      </c>
      <c r="E75" s="11" t="n">
        <f aca="false">COUNTIF('Mapping des pages'!$I$5:$I$218,B75)</f>
        <v>1</v>
      </c>
      <c r="F75" s="11" t="n">
        <f aca="false">SUMIF('Mapping des pages'!$I$5:$I$218,B75,'Mapping des pages'!$F$5:$F$218)</f>
        <v>0</v>
      </c>
      <c r="G75" s="11" t="n">
        <f aca="false">SUMIF('Mapping des pages'!$I$5:$I$218,B75,'Mapping des pages'!$N$5:$N$218)</f>
        <v>0</v>
      </c>
      <c r="H75" s="11" t="str">
        <f aca="false">IF(E75=0,"Nouvelle page à écrire","Migration")</f>
        <v>Migration</v>
      </c>
      <c r="I75" s="13" t="s">
        <v>8</v>
      </c>
      <c r="J75" s="13"/>
    </row>
  </sheetData>
  <autoFilter ref="A4:J75"/>
  <conditionalFormatting sqref="I5:I75">
    <cfRule type="expression" priority="2" aboveAverage="0" equalAverage="0" bottom="0" percent="0" rank="0" text="" dxfId="5">
      <formula>I5="Validé"</formula>
    </cfRule>
    <cfRule type="expression" priority="3" aboveAverage="0" equalAverage="0" bottom="0" percent="0" rank="0" text="" dxfId="6">
      <formula>I5="Refusé"</formula>
    </cfRule>
    <cfRule type="expression" priority="4" aboveAverage="0" equalAverage="0" bottom="0" percent="0" rank="0" text="" dxfId="7">
      <formula>I5="À revoir"</formula>
    </cfRule>
  </conditionalFormatting>
  <dataValidations count="1">
    <dataValidation allowBlank="true" errorStyle="stop" operator="between" showDropDown="false" showErrorMessage="false" showInputMessage="false" sqref="I5:I75" type="list">
      <formula1>"À valider,Validé,Refusé,À revoir"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677</v>
      </c>
    </row>
    <row r="2" customFormat="false" ht="15" hidden="false" customHeight="false" outlineLevel="0" collapsed="false">
      <c r="A2" s="2" t="s">
        <v>678</v>
      </c>
    </row>
    <row r="4" customFormat="false" ht="31.5" hidden="false" customHeight="true" outlineLevel="0" collapsed="false">
      <c r="A4" s="10" t="s">
        <v>679</v>
      </c>
      <c r="B4" s="10" t="s">
        <v>680</v>
      </c>
      <c r="C4" s="10" t="s">
        <v>662</v>
      </c>
      <c r="D4" s="10" t="s">
        <v>681</v>
      </c>
      <c r="E4" s="10" t="s">
        <v>682</v>
      </c>
      <c r="F4" s="10" t="s">
        <v>683</v>
      </c>
      <c r="G4" s="10" t="s">
        <v>47</v>
      </c>
      <c r="H4" s="10" t="s">
        <v>666</v>
      </c>
      <c r="I4" s="10" t="s">
        <v>684</v>
      </c>
    </row>
    <row r="5" customFormat="false" ht="23.85" hidden="false" customHeight="false" outlineLevel="0" collapsed="false">
      <c r="A5" s="11" t="n">
        <v>196</v>
      </c>
      <c r="B5" s="11" t="s">
        <v>685</v>
      </c>
      <c r="C5" s="11" t="s">
        <v>686</v>
      </c>
      <c r="D5" s="11" t="s">
        <v>71</v>
      </c>
      <c r="E5" s="11" t="s">
        <v>687</v>
      </c>
      <c r="F5" s="11" t="s">
        <v>688</v>
      </c>
      <c r="G5" s="13" t="s">
        <v>687</v>
      </c>
      <c r="H5" s="13"/>
      <c r="I5" s="11" t="s">
        <v>689</v>
      </c>
    </row>
    <row r="6" customFormat="false" ht="15" hidden="false" customHeight="false" outlineLevel="0" collapsed="false">
      <c r="A6" s="11" t="n">
        <v>195</v>
      </c>
      <c r="B6" s="11" t="s">
        <v>690</v>
      </c>
      <c r="C6" s="11" t="s">
        <v>691</v>
      </c>
      <c r="D6" s="11" t="s">
        <v>71</v>
      </c>
      <c r="E6" s="11" t="s">
        <v>687</v>
      </c>
      <c r="F6" s="11" t="s">
        <v>688</v>
      </c>
      <c r="G6" s="13" t="s">
        <v>687</v>
      </c>
      <c r="H6" s="13"/>
      <c r="I6" s="11" t="s">
        <v>692</v>
      </c>
    </row>
    <row r="7" customFormat="false" ht="15" hidden="false" customHeight="false" outlineLevel="0" collapsed="false">
      <c r="A7" s="11" t="n">
        <v>194</v>
      </c>
      <c r="B7" s="11" t="s">
        <v>693</v>
      </c>
      <c r="C7" s="11" t="s">
        <v>694</v>
      </c>
      <c r="D7" s="11" t="s">
        <v>71</v>
      </c>
      <c r="E7" s="11" t="s">
        <v>687</v>
      </c>
      <c r="F7" s="11" t="s">
        <v>688</v>
      </c>
      <c r="G7" s="13" t="s">
        <v>687</v>
      </c>
      <c r="H7" s="13"/>
      <c r="I7" s="11" t="s">
        <v>695</v>
      </c>
    </row>
    <row r="8" customFormat="false" ht="15" hidden="false" customHeight="false" outlineLevel="0" collapsed="false">
      <c r="A8" s="11" t="n">
        <v>193</v>
      </c>
      <c r="B8" s="11" t="s">
        <v>696</v>
      </c>
      <c r="C8" s="11" t="s">
        <v>697</v>
      </c>
      <c r="D8" s="11" t="s">
        <v>71</v>
      </c>
      <c r="E8" s="11" t="s">
        <v>687</v>
      </c>
      <c r="F8" s="11" t="s">
        <v>688</v>
      </c>
      <c r="G8" s="13" t="s">
        <v>687</v>
      </c>
      <c r="H8" s="13"/>
      <c r="I8" s="11" t="s">
        <v>698</v>
      </c>
    </row>
    <row r="9" customFormat="false" ht="23.85" hidden="false" customHeight="false" outlineLevel="0" collapsed="false">
      <c r="A9" s="11" t="n">
        <v>192</v>
      </c>
      <c r="B9" s="11" t="s">
        <v>699</v>
      </c>
      <c r="C9" s="11" t="s">
        <v>700</v>
      </c>
      <c r="D9" s="11" t="s">
        <v>71</v>
      </c>
      <c r="E9" s="11" t="s">
        <v>687</v>
      </c>
      <c r="F9" s="11" t="s">
        <v>688</v>
      </c>
      <c r="G9" s="13" t="s">
        <v>687</v>
      </c>
      <c r="H9" s="13"/>
      <c r="I9" s="11" t="s">
        <v>701</v>
      </c>
    </row>
    <row r="10" customFormat="false" ht="15" hidden="false" customHeight="false" outlineLevel="0" collapsed="false">
      <c r="A10" s="11" t="n">
        <v>191</v>
      </c>
      <c r="B10" s="11" t="s">
        <v>702</v>
      </c>
      <c r="C10" s="11" t="s">
        <v>703</v>
      </c>
      <c r="D10" s="11" t="s">
        <v>71</v>
      </c>
      <c r="E10" s="11" t="s">
        <v>687</v>
      </c>
      <c r="F10" s="11" t="s">
        <v>688</v>
      </c>
      <c r="G10" s="13" t="s">
        <v>687</v>
      </c>
      <c r="H10" s="13"/>
      <c r="I10" s="11" t="s">
        <v>704</v>
      </c>
    </row>
    <row r="11" customFormat="false" ht="15" hidden="false" customHeight="false" outlineLevel="0" collapsed="false">
      <c r="A11" s="11" t="n">
        <v>190</v>
      </c>
      <c r="B11" s="11" t="s">
        <v>705</v>
      </c>
      <c r="C11" s="11" t="s">
        <v>706</v>
      </c>
      <c r="D11" s="11" t="s">
        <v>71</v>
      </c>
      <c r="E11" s="11" t="s">
        <v>687</v>
      </c>
      <c r="F11" s="11" t="s">
        <v>688</v>
      </c>
      <c r="G11" s="13" t="s">
        <v>687</v>
      </c>
      <c r="H11" s="13"/>
      <c r="I11" s="11" t="s">
        <v>707</v>
      </c>
    </row>
    <row r="12" customFormat="false" ht="15" hidden="false" customHeight="false" outlineLevel="0" collapsed="false">
      <c r="A12" s="11" t="n">
        <v>189</v>
      </c>
      <c r="B12" s="11" t="s">
        <v>708</v>
      </c>
      <c r="C12" s="11" t="s">
        <v>709</v>
      </c>
      <c r="D12" s="11" t="s">
        <v>71</v>
      </c>
      <c r="E12" s="11" t="s">
        <v>687</v>
      </c>
      <c r="F12" s="11" t="s">
        <v>688</v>
      </c>
      <c r="G12" s="13" t="s">
        <v>687</v>
      </c>
      <c r="H12" s="13"/>
      <c r="I12" s="11" t="s">
        <v>710</v>
      </c>
    </row>
    <row r="13" customFormat="false" ht="15" hidden="false" customHeight="false" outlineLevel="0" collapsed="false">
      <c r="A13" s="11" t="n">
        <v>188</v>
      </c>
      <c r="B13" s="11" t="s">
        <v>711</v>
      </c>
      <c r="C13" s="11" t="s">
        <v>712</v>
      </c>
      <c r="D13" s="11" t="s">
        <v>71</v>
      </c>
      <c r="E13" s="11" t="s">
        <v>687</v>
      </c>
      <c r="F13" s="11" t="s">
        <v>688</v>
      </c>
      <c r="G13" s="13" t="s">
        <v>687</v>
      </c>
      <c r="H13" s="13"/>
      <c r="I13" s="11" t="s">
        <v>713</v>
      </c>
    </row>
    <row r="14" customFormat="false" ht="15" hidden="false" customHeight="false" outlineLevel="0" collapsed="false">
      <c r="A14" s="11" t="n">
        <v>187</v>
      </c>
      <c r="B14" s="11" t="s">
        <v>714</v>
      </c>
      <c r="C14" s="11" t="s">
        <v>715</v>
      </c>
      <c r="D14" s="11" t="s">
        <v>71</v>
      </c>
      <c r="E14" s="11" t="s">
        <v>687</v>
      </c>
      <c r="F14" s="11" t="s">
        <v>688</v>
      </c>
      <c r="G14" s="13" t="s">
        <v>687</v>
      </c>
      <c r="H14" s="13"/>
      <c r="I14" s="11" t="s">
        <v>716</v>
      </c>
    </row>
    <row r="15" customFormat="false" ht="15" hidden="false" customHeight="false" outlineLevel="0" collapsed="false">
      <c r="A15" s="11" t="n">
        <v>186</v>
      </c>
      <c r="B15" s="11" t="s">
        <v>717</v>
      </c>
      <c r="C15" s="11" t="s">
        <v>718</v>
      </c>
      <c r="D15" s="11" t="s">
        <v>71</v>
      </c>
      <c r="E15" s="11" t="s">
        <v>687</v>
      </c>
      <c r="F15" s="11" t="s">
        <v>688</v>
      </c>
      <c r="G15" s="13" t="s">
        <v>687</v>
      </c>
      <c r="H15" s="13"/>
      <c r="I15" s="11" t="s">
        <v>719</v>
      </c>
    </row>
    <row r="16" customFormat="false" ht="23.85" hidden="false" customHeight="false" outlineLevel="0" collapsed="false">
      <c r="A16" s="11" t="n">
        <v>185</v>
      </c>
      <c r="B16" s="11" t="s">
        <v>720</v>
      </c>
      <c r="C16" s="11" t="s">
        <v>721</v>
      </c>
      <c r="D16" s="11" t="s">
        <v>71</v>
      </c>
      <c r="E16" s="11" t="s">
        <v>722</v>
      </c>
      <c r="F16" s="11" t="s">
        <v>723</v>
      </c>
      <c r="G16" s="13" t="s">
        <v>724</v>
      </c>
      <c r="H16" s="13"/>
      <c r="I16" s="11" t="s">
        <v>725</v>
      </c>
    </row>
    <row r="17" customFormat="false" ht="15" hidden="false" customHeight="false" outlineLevel="0" collapsed="false">
      <c r="A17" s="11" t="n">
        <v>184</v>
      </c>
      <c r="B17" s="11" t="s">
        <v>726</v>
      </c>
      <c r="C17" s="11" t="s">
        <v>727</v>
      </c>
      <c r="D17" s="11" t="s">
        <v>71</v>
      </c>
      <c r="E17" s="11" t="s">
        <v>687</v>
      </c>
      <c r="F17" s="11" t="s">
        <v>688</v>
      </c>
      <c r="G17" s="13" t="s">
        <v>687</v>
      </c>
      <c r="H17" s="13"/>
      <c r="I17" s="11" t="s">
        <v>728</v>
      </c>
    </row>
    <row r="18" customFormat="false" ht="23.85" hidden="false" customHeight="false" outlineLevel="0" collapsed="false">
      <c r="A18" s="11" t="n">
        <v>183</v>
      </c>
      <c r="B18" s="11" t="s">
        <v>729</v>
      </c>
      <c r="C18" s="11" t="s">
        <v>730</v>
      </c>
      <c r="D18" s="11" t="s">
        <v>71</v>
      </c>
      <c r="E18" s="11" t="s">
        <v>687</v>
      </c>
      <c r="F18" s="11" t="s">
        <v>688</v>
      </c>
      <c r="G18" s="13" t="s">
        <v>687</v>
      </c>
      <c r="H18" s="13"/>
      <c r="I18" s="11" t="s">
        <v>731</v>
      </c>
    </row>
    <row r="19" customFormat="false" ht="15" hidden="false" customHeight="false" outlineLevel="0" collapsed="false">
      <c r="A19" s="11" t="n">
        <v>182</v>
      </c>
      <c r="B19" s="11" t="s">
        <v>732</v>
      </c>
      <c r="C19" s="11" t="s">
        <v>733</v>
      </c>
      <c r="D19" s="11" t="s">
        <v>71</v>
      </c>
      <c r="E19" s="11" t="s">
        <v>687</v>
      </c>
      <c r="F19" s="11" t="s">
        <v>688</v>
      </c>
      <c r="G19" s="13" t="s">
        <v>687</v>
      </c>
      <c r="H19" s="13"/>
      <c r="I19" s="11" t="s">
        <v>734</v>
      </c>
    </row>
    <row r="20" customFormat="false" ht="15" hidden="false" customHeight="false" outlineLevel="0" collapsed="false">
      <c r="A20" s="11" t="n">
        <v>181</v>
      </c>
      <c r="B20" s="11" t="s">
        <v>735</v>
      </c>
      <c r="C20" s="11" t="s">
        <v>736</v>
      </c>
      <c r="D20" s="11" t="s">
        <v>71</v>
      </c>
      <c r="E20" s="11" t="s">
        <v>687</v>
      </c>
      <c r="F20" s="11" t="s">
        <v>688</v>
      </c>
      <c r="G20" s="13" t="s">
        <v>687</v>
      </c>
      <c r="H20" s="13"/>
      <c r="I20" s="11" t="s">
        <v>737</v>
      </c>
    </row>
    <row r="21" customFormat="false" ht="15" hidden="false" customHeight="false" outlineLevel="0" collapsed="false">
      <c r="A21" s="11" t="n">
        <v>180</v>
      </c>
      <c r="B21" s="11" t="s">
        <v>738</v>
      </c>
      <c r="C21" s="11" t="s">
        <v>739</v>
      </c>
      <c r="D21" s="11" t="s">
        <v>71</v>
      </c>
      <c r="E21" s="11" t="s">
        <v>687</v>
      </c>
      <c r="F21" s="11" t="s">
        <v>688</v>
      </c>
      <c r="G21" s="13" t="s">
        <v>687</v>
      </c>
      <c r="H21" s="13"/>
      <c r="I21" s="11" t="s">
        <v>740</v>
      </c>
    </row>
    <row r="22" customFormat="false" ht="23.85" hidden="false" customHeight="false" outlineLevel="0" collapsed="false">
      <c r="A22" s="11" t="n">
        <v>179</v>
      </c>
      <c r="B22" s="11" t="s">
        <v>741</v>
      </c>
      <c r="C22" s="11" t="s">
        <v>742</v>
      </c>
      <c r="D22" s="11" t="s">
        <v>71</v>
      </c>
      <c r="E22" s="11" t="s">
        <v>687</v>
      </c>
      <c r="F22" s="11" t="s">
        <v>688</v>
      </c>
      <c r="G22" s="13" t="s">
        <v>687</v>
      </c>
      <c r="H22" s="13"/>
      <c r="I22" s="11" t="s">
        <v>743</v>
      </c>
    </row>
    <row r="23" customFormat="false" ht="23.85" hidden="false" customHeight="false" outlineLevel="0" collapsed="false">
      <c r="A23" s="11" t="n">
        <v>178</v>
      </c>
      <c r="B23" s="11" t="s">
        <v>744</v>
      </c>
      <c r="C23" s="11" t="s">
        <v>745</v>
      </c>
      <c r="D23" s="11" t="s">
        <v>71</v>
      </c>
      <c r="E23" s="11" t="s">
        <v>687</v>
      </c>
      <c r="F23" s="11" t="s">
        <v>688</v>
      </c>
      <c r="G23" s="13" t="s">
        <v>687</v>
      </c>
      <c r="H23" s="13"/>
      <c r="I23" s="11" t="s">
        <v>746</v>
      </c>
    </row>
    <row r="24" customFormat="false" ht="15" hidden="false" customHeight="false" outlineLevel="0" collapsed="false">
      <c r="A24" s="11" t="n">
        <v>177</v>
      </c>
      <c r="B24" s="11" t="s">
        <v>747</v>
      </c>
      <c r="C24" s="11" t="s">
        <v>748</v>
      </c>
      <c r="D24" s="11" t="s">
        <v>71</v>
      </c>
      <c r="E24" s="11" t="s">
        <v>722</v>
      </c>
      <c r="F24" s="11" t="s">
        <v>749</v>
      </c>
      <c r="G24" s="13" t="s">
        <v>724</v>
      </c>
      <c r="H24" s="13"/>
      <c r="I24" s="11" t="s">
        <v>750</v>
      </c>
    </row>
    <row r="25" customFormat="false" ht="15" hidden="false" customHeight="false" outlineLevel="0" collapsed="false">
      <c r="A25" s="11" t="n">
        <v>176</v>
      </c>
      <c r="B25" s="11" t="s">
        <v>751</v>
      </c>
      <c r="C25" s="11" t="s">
        <v>752</v>
      </c>
      <c r="D25" s="11" t="s">
        <v>71</v>
      </c>
      <c r="E25" s="11" t="s">
        <v>687</v>
      </c>
      <c r="F25" s="11" t="s">
        <v>688</v>
      </c>
      <c r="G25" s="13" t="s">
        <v>687</v>
      </c>
      <c r="H25" s="13"/>
      <c r="I25" s="11" t="s">
        <v>753</v>
      </c>
    </row>
    <row r="26" customFormat="false" ht="15" hidden="false" customHeight="false" outlineLevel="0" collapsed="false">
      <c r="A26" s="11" t="n">
        <v>175</v>
      </c>
      <c r="B26" s="11" t="s">
        <v>754</v>
      </c>
      <c r="C26" s="11" t="s">
        <v>755</v>
      </c>
      <c r="D26" s="11" t="s">
        <v>71</v>
      </c>
      <c r="E26" s="11" t="s">
        <v>687</v>
      </c>
      <c r="F26" s="11" t="s">
        <v>688</v>
      </c>
      <c r="G26" s="13" t="s">
        <v>687</v>
      </c>
      <c r="H26" s="13"/>
      <c r="I26" s="11" t="s">
        <v>756</v>
      </c>
    </row>
    <row r="27" customFormat="false" ht="15" hidden="false" customHeight="false" outlineLevel="0" collapsed="false">
      <c r="A27" s="11" t="n">
        <v>174</v>
      </c>
      <c r="B27" s="11" t="s">
        <v>757</v>
      </c>
      <c r="C27" s="11" t="s">
        <v>758</v>
      </c>
      <c r="D27" s="11" t="s">
        <v>71</v>
      </c>
      <c r="E27" s="11" t="s">
        <v>722</v>
      </c>
      <c r="F27" s="11" t="s">
        <v>759</v>
      </c>
      <c r="G27" s="13" t="s">
        <v>724</v>
      </c>
      <c r="H27" s="13"/>
      <c r="I27" s="11" t="s">
        <v>760</v>
      </c>
    </row>
    <row r="28" customFormat="false" ht="15" hidden="false" customHeight="false" outlineLevel="0" collapsed="false">
      <c r="A28" s="11" t="n">
        <v>173</v>
      </c>
      <c r="B28" s="11" t="s">
        <v>761</v>
      </c>
      <c r="C28" s="11" t="s">
        <v>762</v>
      </c>
      <c r="D28" s="11" t="s">
        <v>71</v>
      </c>
      <c r="E28" s="11" t="s">
        <v>687</v>
      </c>
      <c r="F28" s="11" t="s">
        <v>688</v>
      </c>
      <c r="G28" s="13" t="s">
        <v>687</v>
      </c>
      <c r="H28" s="13"/>
      <c r="I28" s="11" t="s">
        <v>763</v>
      </c>
    </row>
    <row r="29" customFormat="false" ht="15" hidden="false" customHeight="false" outlineLevel="0" collapsed="false">
      <c r="A29" s="11" t="n">
        <v>172</v>
      </c>
      <c r="B29" s="11" t="s">
        <v>764</v>
      </c>
      <c r="C29" s="11" t="s">
        <v>765</v>
      </c>
      <c r="D29" s="11" t="s">
        <v>71</v>
      </c>
      <c r="E29" s="11" t="s">
        <v>722</v>
      </c>
      <c r="F29" s="11" t="s">
        <v>766</v>
      </c>
      <c r="G29" s="13" t="s">
        <v>724</v>
      </c>
      <c r="H29" s="13"/>
      <c r="I29" s="11" t="s">
        <v>767</v>
      </c>
    </row>
    <row r="30" customFormat="false" ht="23.85" hidden="false" customHeight="false" outlineLevel="0" collapsed="false">
      <c r="A30" s="11" t="n">
        <v>171</v>
      </c>
      <c r="B30" s="11" t="s">
        <v>768</v>
      </c>
      <c r="C30" s="11" t="s">
        <v>769</v>
      </c>
      <c r="D30" s="11" t="s">
        <v>71</v>
      </c>
      <c r="E30" s="11" t="s">
        <v>687</v>
      </c>
      <c r="F30" s="11" t="s">
        <v>688</v>
      </c>
      <c r="G30" s="13" t="s">
        <v>687</v>
      </c>
      <c r="H30" s="13"/>
      <c r="I30" s="11" t="s">
        <v>770</v>
      </c>
    </row>
    <row r="31" customFormat="false" ht="15" hidden="false" customHeight="false" outlineLevel="0" collapsed="false">
      <c r="A31" s="11" t="n">
        <v>170</v>
      </c>
      <c r="B31" s="11" t="s">
        <v>771</v>
      </c>
      <c r="C31" s="11" t="s">
        <v>772</v>
      </c>
      <c r="D31" s="11" t="s">
        <v>71</v>
      </c>
      <c r="E31" s="11" t="s">
        <v>722</v>
      </c>
      <c r="F31" s="11" t="s">
        <v>759</v>
      </c>
      <c r="G31" s="13" t="s">
        <v>724</v>
      </c>
      <c r="H31" s="13"/>
      <c r="I31" s="11" t="s">
        <v>773</v>
      </c>
    </row>
    <row r="32" customFormat="false" ht="15" hidden="false" customHeight="false" outlineLevel="0" collapsed="false">
      <c r="A32" s="11" t="n">
        <v>169</v>
      </c>
      <c r="B32" s="11" t="s">
        <v>774</v>
      </c>
      <c r="C32" s="11" t="s">
        <v>775</v>
      </c>
      <c r="D32" s="11" t="s">
        <v>71</v>
      </c>
      <c r="E32" s="11" t="s">
        <v>687</v>
      </c>
      <c r="F32" s="11" t="s">
        <v>688</v>
      </c>
      <c r="G32" s="13" t="s">
        <v>687</v>
      </c>
      <c r="H32" s="13"/>
      <c r="I32" s="11" t="s">
        <v>776</v>
      </c>
    </row>
    <row r="33" customFormat="false" ht="15" hidden="false" customHeight="false" outlineLevel="0" collapsed="false">
      <c r="A33" s="11" t="n">
        <v>168</v>
      </c>
      <c r="B33" s="11" t="s">
        <v>777</v>
      </c>
      <c r="C33" s="11" t="s">
        <v>778</v>
      </c>
      <c r="D33" s="11" t="s">
        <v>71</v>
      </c>
      <c r="E33" s="11" t="s">
        <v>687</v>
      </c>
      <c r="F33" s="11" t="s">
        <v>688</v>
      </c>
      <c r="G33" s="13" t="s">
        <v>687</v>
      </c>
      <c r="H33" s="13"/>
      <c r="I33" s="11" t="s">
        <v>779</v>
      </c>
    </row>
    <row r="34" customFormat="false" ht="15" hidden="false" customHeight="false" outlineLevel="0" collapsed="false">
      <c r="A34" s="11" t="n">
        <v>167</v>
      </c>
      <c r="B34" s="11" t="s">
        <v>780</v>
      </c>
      <c r="C34" s="11" t="s">
        <v>781</v>
      </c>
      <c r="D34" s="11" t="s">
        <v>71</v>
      </c>
      <c r="E34" s="11" t="s">
        <v>687</v>
      </c>
      <c r="F34" s="11" t="s">
        <v>688</v>
      </c>
      <c r="G34" s="13" t="s">
        <v>687</v>
      </c>
      <c r="H34" s="13"/>
      <c r="I34" s="11" t="s">
        <v>782</v>
      </c>
    </row>
    <row r="35" customFormat="false" ht="15" hidden="false" customHeight="false" outlineLevel="0" collapsed="false">
      <c r="A35" s="11" t="n">
        <v>166</v>
      </c>
      <c r="B35" s="11" t="s">
        <v>783</v>
      </c>
      <c r="C35" s="11" t="s">
        <v>784</v>
      </c>
      <c r="D35" s="11" t="s">
        <v>71</v>
      </c>
      <c r="E35" s="11" t="s">
        <v>687</v>
      </c>
      <c r="F35" s="11" t="s">
        <v>688</v>
      </c>
      <c r="G35" s="13" t="s">
        <v>687</v>
      </c>
      <c r="H35" s="13"/>
      <c r="I35" s="11" t="s">
        <v>785</v>
      </c>
    </row>
    <row r="36" customFormat="false" ht="15" hidden="false" customHeight="false" outlineLevel="0" collapsed="false">
      <c r="A36" s="11" t="n">
        <v>165</v>
      </c>
      <c r="B36" s="11" t="s">
        <v>786</v>
      </c>
      <c r="C36" s="11" t="s">
        <v>787</v>
      </c>
      <c r="D36" s="11" t="s">
        <v>71</v>
      </c>
      <c r="E36" s="11" t="s">
        <v>687</v>
      </c>
      <c r="F36" s="11" t="s">
        <v>688</v>
      </c>
      <c r="G36" s="13" t="s">
        <v>687</v>
      </c>
      <c r="H36" s="13"/>
      <c r="I36" s="11" t="s">
        <v>788</v>
      </c>
    </row>
    <row r="37" customFormat="false" ht="15" hidden="false" customHeight="false" outlineLevel="0" collapsed="false">
      <c r="A37" s="11" t="n">
        <v>164</v>
      </c>
      <c r="B37" s="11" t="s">
        <v>789</v>
      </c>
      <c r="C37" s="11" t="s">
        <v>790</v>
      </c>
      <c r="D37" s="11" t="s">
        <v>71</v>
      </c>
      <c r="E37" s="11" t="s">
        <v>687</v>
      </c>
      <c r="F37" s="11" t="s">
        <v>688</v>
      </c>
      <c r="G37" s="13" t="s">
        <v>687</v>
      </c>
      <c r="H37" s="13"/>
      <c r="I37" s="11" t="s">
        <v>791</v>
      </c>
    </row>
    <row r="38" customFormat="false" ht="15" hidden="false" customHeight="false" outlineLevel="0" collapsed="false">
      <c r="A38" s="11" t="n">
        <v>163</v>
      </c>
      <c r="B38" s="11" t="s">
        <v>792</v>
      </c>
      <c r="C38" s="11" t="s">
        <v>793</v>
      </c>
      <c r="D38" s="11" t="s">
        <v>71</v>
      </c>
      <c r="E38" s="11" t="s">
        <v>794</v>
      </c>
      <c r="F38" s="11" t="s">
        <v>795</v>
      </c>
      <c r="G38" s="13" t="s">
        <v>794</v>
      </c>
      <c r="H38" s="13"/>
      <c r="I38" s="11" t="s">
        <v>796</v>
      </c>
    </row>
    <row r="39" customFormat="false" ht="15" hidden="false" customHeight="false" outlineLevel="0" collapsed="false">
      <c r="A39" s="11" t="n">
        <v>162</v>
      </c>
      <c r="B39" s="11" t="s">
        <v>797</v>
      </c>
      <c r="C39" s="11" t="s">
        <v>798</v>
      </c>
      <c r="D39" s="11" t="s">
        <v>71</v>
      </c>
      <c r="E39" s="11" t="s">
        <v>687</v>
      </c>
      <c r="F39" s="11" t="s">
        <v>799</v>
      </c>
      <c r="G39" s="13" t="s">
        <v>687</v>
      </c>
      <c r="H39" s="13"/>
      <c r="I39" s="11" t="s">
        <v>800</v>
      </c>
    </row>
    <row r="40" customFormat="false" ht="15" hidden="false" customHeight="false" outlineLevel="0" collapsed="false">
      <c r="A40" s="11" t="n">
        <v>161</v>
      </c>
      <c r="B40" s="11" t="s">
        <v>801</v>
      </c>
      <c r="C40" s="11" t="s">
        <v>802</v>
      </c>
      <c r="D40" s="11" t="s">
        <v>71</v>
      </c>
      <c r="E40" s="11" t="s">
        <v>687</v>
      </c>
      <c r="F40" s="11" t="s">
        <v>490</v>
      </c>
      <c r="G40" s="13" t="s">
        <v>687</v>
      </c>
      <c r="H40" s="13"/>
      <c r="I40" s="11" t="s">
        <v>803</v>
      </c>
    </row>
    <row r="41" customFormat="false" ht="15" hidden="false" customHeight="false" outlineLevel="0" collapsed="false">
      <c r="A41" s="11" t="n">
        <v>160</v>
      </c>
      <c r="B41" s="11" t="s">
        <v>804</v>
      </c>
      <c r="C41" s="11" t="s">
        <v>805</v>
      </c>
      <c r="D41" s="11" t="s">
        <v>71</v>
      </c>
      <c r="E41" s="11" t="s">
        <v>687</v>
      </c>
      <c r="F41" s="11" t="s">
        <v>799</v>
      </c>
      <c r="G41" s="13" t="s">
        <v>687</v>
      </c>
      <c r="H41" s="13"/>
      <c r="I41" s="11" t="s">
        <v>806</v>
      </c>
    </row>
    <row r="42" customFormat="false" ht="15" hidden="false" customHeight="false" outlineLevel="0" collapsed="false">
      <c r="A42" s="11" t="n">
        <v>159</v>
      </c>
      <c r="B42" s="11" t="s">
        <v>807</v>
      </c>
      <c r="C42" s="11" t="s">
        <v>808</v>
      </c>
      <c r="D42" s="11" t="s">
        <v>71</v>
      </c>
      <c r="E42" s="11" t="s">
        <v>687</v>
      </c>
      <c r="F42" s="11" t="s">
        <v>809</v>
      </c>
      <c r="G42" s="13" t="s">
        <v>687</v>
      </c>
      <c r="H42" s="13"/>
      <c r="I42" s="11" t="s">
        <v>810</v>
      </c>
    </row>
    <row r="43" customFormat="false" ht="15" hidden="false" customHeight="false" outlineLevel="0" collapsed="false">
      <c r="A43" s="11" t="n">
        <v>158</v>
      </c>
      <c r="B43" s="11" t="s">
        <v>811</v>
      </c>
      <c r="C43" s="11" t="s">
        <v>812</v>
      </c>
      <c r="D43" s="11" t="s">
        <v>71</v>
      </c>
      <c r="E43" s="11" t="s">
        <v>687</v>
      </c>
      <c r="F43" s="11" t="s">
        <v>813</v>
      </c>
      <c r="G43" s="13" t="s">
        <v>687</v>
      </c>
      <c r="H43" s="13"/>
      <c r="I43" s="11" t="s">
        <v>814</v>
      </c>
    </row>
    <row r="44" customFormat="false" ht="15" hidden="false" customHeight="false" outlineLevel="0" collapsed="false">
      <c r="A44" s="11" t="n">
        <v>157</v>
      </c>
      <c r="B44" s="11" t="s">
        <v>815</v>
      </c>
      <c r="C44" s="11" t="s">
        <v>816</v>
      </c>
      <c r="D44" s="11" t="s">
        <v>71</v>
      </c>
      <c r="E44" s="11" t="s">
        <v>687</v>
      </c>
      <c r="F44" s="11" t="s">
        <v>813</v>
      </c>
      <c r="G44" s="13" t="s">
        <v>687</v>
      </c>
      <c r="H44" s="13"/>
      <c r="I44" s="11" t="s">
        <v>817</v>
      </c>
    </row>
    <row r="45" customFormat="false" ht="23.85" hidden="false" customHeight="false" outlineLevel="0" collapsed="false">
      <c r="A45" s="11" t="n">
        <v>156</v>
      </c>
      <c r="B45" s="11" t="s">
        <v>818</v>
      </c>
      <c r="C45" s="11" t="s">
        <v>819</v>
      </c>
      <c r="D45" s="11" t="s">
        <v>71</v>
      </c>
      <c r="E45" s="11" t="s">
        <v>687</v>
      </c>
      <c r="F45" s="11" t="s">
        <v>813</v>
      </c>
      <c r="G45" s="13" t="s">
        <v>687</v>
      </c>
      <c r="H45" s="13"/>
      <c r="I45" s="11" t="s">
        <v>820</v>
      </c>
    </row>
    <row r="46" customFormat="false" ht="15" hidden="false" customHeight="false" outlineLevel="0" collapsed="false">
      <c r="A46" s="11" t="n">
        <v>155</v>
      </c>
      <c r="B46" s="11" t="s">
        <v>821</v>
      </c>
      <c r="C46" s="11" t="s">
        <v>822</v>
      </c>
      <c r="D46" s="11" t="s">
        <v>71</v>
      </c>
      <c r="E46" s="11" t="s">
        <v>687</v>
      </c>
      <c r="F46" s="11" t="s">
        <v>813</v>
      </c>
      <c r="G46" s="13" t="s">
        <v>687</v>
      </c>
      <c r="H46" s="13"/>
      <c r="I46" s="11" t="s">
        <v>823</v>
      </c>
    </row>
    <row r="47" customFormat="false" ht="23.85" hidden="false" customHeight="false" outlineLevel="0" collapsed="false">
      <c r="A47" s="11" t="n">
        <v>154</v>
      </c>
      <c r="B47" s="11" t="s">
        <v>824</v>
      </c>
      <c r="C47" s="11" t="s">
        <v>825</v>
      </c>
      <c r="D47" s="11" t="s">
        <v>71</v>
      </c>
      <c r="E47" s="11" t="s">
        <v>722</v>
      </c>
      <c r="F47" s="11" t="s">
        <v>826</v>
      </c>
      <c r="G47" s="13" t="s">
        <v>724</v>
      </c>
      <c r="H47" s="13"/>
      <c r="I47" s="11" t="s">
        <v>827</v>
      </c>
    </row>
    <row r="48" customFormat="false" ht="15" hidden="false" customHeight="false" outlineLevel="0" collapsed="false">
      <c r="A48" s="11" t="n">
        <v>153</v>
      </c>
      <c r="B48" s="11" t="s">
        <v>828</v>
      </c>
      <c r="C48" s="11" t="s">
        <v>829</v>
      </c>
      <c r="D48" s="11" t="s">
        <v>71</v>
      </c>
      <c r="E48" s="11" t="s">
        <v>722</v>
      </c>
      <c r="F48" s="11" t="s">
        <v>830</v>
      </c>
      <c r="G48" s="13" t="s">
        <v>724</v>
      </c>
      <c r="H48" s="13"/>
      <c r="I48" s="11" t="s">
        <v>831</v>
      </c>
    </row>
    <row r="49" customFormat="false" ht="15" hidden="false" customHeight="false" outlineLevel="0" collapsed="false">
      <c r="A49" s="11" t="n">
        <v>152</v>
      </c>
      <c r="B49" s="11" t="s">
        <v>832</v>
      </c>
      <c r="C49" s="11" t="s">
        <v>833</v>
      </c>
      <c r="D49" s="11" t="s">
        <v>71</v>
      </c>
      <c r="E49" s="11" t="s">
        <v>722</v>
      </c>
      <c r="F49" s="11" t="s">
        <v>830</v>
      </c>
      <c r="G49" s="13" t="s">
        <v>724</v>
      </c>
      <c r="H49" s="13"/>
      <c r="I49" s="11" t="s">
        <v>834</v>
      </c>
    </row>
    <row r="50" customFormat="false" ht="15" hidden="false" customHeight="false" outlineLevel="0" collapsed="false">
      <c r="A50" s="11" t="n">
        <v>151</v>
      </c>
      <c r="B50" s="11" t="s">
        <v>835</v>
      </c>
      <c r="C50" s="11" t="s">
        <v>836</v>
      </c>
      <c r="D50" s="11" t="s">
        <v>71</v>
      </c>
      <c r="E50" s="11" t="s">
        <v>794</v>
      </c>
      <c r="F50" s="11" t="s">
        <v>837</v>
      </c>
      <c r="G50" s="13" t="s">
        <v>794</v>
      </c>
      <c r="H50" s="13"/>
      <c r="I50" s="11" t="s">
        <v>838</v>
      </c>
    </row>
    <row r="51" customFormat="false" ht="15" hidden="false" customHeight="false" outlineLevel="0" collapsed="false">
      <c r="A51" s="11" t="n">
        <v>150</v>
      </c>
      <c r="B51" s="11" t="s">
        <v>839</v>
      </c>
      <c r="C51" s="11" t="s">
        <v>840</v>
      </c>
      <c r="D51" s="11" t="s">
        <v>71</v>
      </c>
      <c r="E51" s="11" t="s">
        <v>722</v>
      </c>
      <c r="F51" s="11" t="s">
        <v>830</v>
      </c>
      <c r="G51" s="13" t="s">
        <v>724</v>
      </c>
      <c r="H51" s="13"/>
      <c r="I51" s="11" t="s">
        <v>841</v>
      </c>
    </row>
    <row r="52" customFormat="false" ht="23.85" hidden="false" customHeight="false" outlineLevel="0" collapsed="false">
      <c r="A52" s="11" t="n">
        <v>149</v>
      </c>
      <c r="B52" s="11" t="s">
        <v>842</v>
      </c>
      <c r="C52" s="11" t="s">
        <v>843</v>
      </c>
      <c r="D52" s="11" t="s">
        <v>51</v>
      </c>
      <c r="E52" s="11" t="s">
        <v>687</v>
      </c>
      <c r="F52" s="11" t="s">
        <v>844</v>
      </c>
      <c r="G52" s="13" t="s">
        <v>687</v>
      </c>
      <c r="H52" s="13"/>
      <c r="I52" s="11" t="s">
        <v>845</v>
      </c>
    </row>
    <row r="53" customFormat="false" ht="15" hidden="false" customHeight="false" outlineLevel="0" collapsed="false">
      <c r="A53" s="11" t="n">
        <v>148</v>
      </c>
      <c r="B53" s="11" t="s">
        <v>846</v>
      </c>
      <c r="C53" s="11" t="s">
        <v>847</v>
      </c>
      <c r="D53" s="11" t="s">
        <v>71</v>
      </c>
      <c r="E53" s="11" t="s">
        <v>687</v>
      </c>
      <c r="F53" s="11" t="s">
        <v>848</v>
      </c>
      <c r="G53" s="13" t="s">
        <v>687</v>
      </c>
      <c r="H53" s="13"/>
      <c r="I53" s="11" t="s">
        <v>849</v>
      </c>
    </row>
    <row r="54" customFormat="false" ht="15" hidden="false" customHeight="false" outlineLevel="0" collapsed="false">
      <c r="A54" s="11" t="n">
        <v>147</v>
      </c>
      <c r="B54" s="11" t="s">
        <v>850</v>
      </c>
      <c r="C54" s="11" t="s">
        <v>851</v>
      </c>
      <c r="D54" s="11" t="s">
        <v>71</v>
      </c>
      <c r="E54" s="11" t="s">
        <v>722</v>
      </c>
      <c r="F54" s="11" t="s">
        <v>830</v>
      </c>
      <c r="G54" s="13" t="s">
        <v>724</v>
      </c>
      <c r="H54" s="13"/>
      <c r="I54" s="11" t="s">
        <v>852</v>
      </c>
    </row>
    <row r="55" customFormat="false" ht="15" hidden="false" customHeight="false" outlineLevel="0" collapsed="false">
      <c r="A55" s="11" t="n">
        <v>146</v>
      </c>
      <c r="B55" s="11" t="s">
        <v>853</v>
      </c>
      <c r="C55" s="11" t="s">
        <v>854</v>
      </c>
      <c r="D55" s="11" t="s">
        <v>71</v>
      </c>
      <c r="E55" s="11" t="s">
        <v>794</v>
      </c>
      <c r="F55" s="11" t="s">
        <v>855</v>
      </c>
      <c r="G55" s="13" t="s">
        <v>794</v>
      </c>
      <c r="H55" s="13"/>
      <c r="I55" s="11" t="s">
        <v>856</v>
      </c>
    </row>
    <row r="56" customFormat="false" ht="23.85" hidden="false" customHeight="false" outlineLevel="0" collapsed="false">
      <c r="A56" s="11" t="n">
        <v>145</v>
      </c>
      <c r="B56" s="11" t="s">
        <v>857</v>
      </c>
      <c r="C56" s="11" t="s">
        <v>858</v>
      </c>
      <c r="D56" s="11" t="s">
        <v>71</v>
      </c>
      <c r="E56" s="11" t="s">
        <v>722</v>
      </c>
      <c r="F56" s="11" t="s">
        <v>830</v>
      </c>
      <c r="G56" s="13" t="s">
        <v>724</v>
      </c>
      <c r="H56" s="13"/>
      <c r="I56" s="11" t="s">
        <v>859</v>
      </c>
    </row>
    <row r="57" customFormat="false" ht="15" hidden="false" customHeight="false" outlineLevel="0" collapsed="false">
      <c r="A57" s="11" t="s">
        <v>57</v>
      </c>
      <c r="B57" s="11" t="s">
        <v>860</v>
      </c>
      <c r="C57" s="11" t="s">
        <v>861</v>
      </c>
      <c r="D57" s="11" t="s">
        <v>51</v>
      </c>
      <c r="E57" s="11" t="s">
        <v>794</v>
      </c>
      <c r="F57" s="11" t="s">
        <v>862</v>
      </c>
      <c r="G57" s="13" t="s">
        <v>794</v>
      </c>
      <c r="H57" s="13"/>
      <c r="I57" s="11" t="s">
        <v>863</v>
      </c>
    </row>
    <row r="58" customFormat="false" ht="23.85" hidden="false" customHeight="false" outlineLevel="0" collapsed="false">
      <c r="A58" s="11" t="n">
        <v>144</v>
      </c>
      <c r="B58" s="11" t="s">
        <v>864</v>
      </c>
      <c r="C58" s="11" t="s">
        <v>865</v>
      </c>
      <c r="D58" s="11" t="s">
        <v>71</v>
      </c>
      <c r="E58" s="11" t="s">
        <v>722</v>
      </c>
      <c r="F58" s="11" t="s">
        <v>830</v>
      </c>
      <c r="G58" s="13" t="s">
        <v>724</v>
      </c>
      <c r="H58" s="13"/>
      <c r="I58" s="11" t="s">
        <v>866</v>
      </c>
    </row>
    <row r="59" customFormat="false" ht="15" hidden="false" customHeight="false" outlineLevel="0" collapsed="false">
      <c r="A59" s="11" t="n">
        <v>143</v>
      </c>
      <c r="B59" s="11" t="s">
        <v>867</v>
      </c>
      <c r="C59" s="11" t="s">
        <v>868</v>
      </c>
      <c r="D59" s="11" t="s">
        <v>71</v>
      </c>
      <c r="E59" s="11" t="s">
        <v>722</v>
      </c>
      <c r="F59" s="11" t="s">
        <v>830</v>
      </c>
      <c r="G59" s="13" t="s">
        <v>724</v>
      </c>
      <c r="H59" s="13"/>
      <c r="I59" s="11" t="s">
        <v>869</v>
      </c>
    </row>
    <row r="60" customFormat="false" ht="15" hidden="false" customHeight="false" outlineLevel="0" collapsed="false">
      <c r="A60" s="11" t="n">
        <v>142</v>
      </c>
      <c r="B60" s="11" t="s">
        <v>870</v>
      </c>
      <c r="C60" s="11" t="s">
        <v>871</v>
      </c>
      <c r="D60" s="11" t="s">
        <v>71</v>
      </c>
      <c r="E60" s="11" t="s">
        <v>794</v>
      </c>
      <c r="F60" s="11" t="s">
        <v>872</v>
      </c>
      <c r="G60" s="13" t="s">
        <v>794</v>
      </c>
      <c r="H60" s="13"/>
      <c r="I60" s="11" t="s">
        <v>873</v>
      </c>
    </row>
    <row r="61" customFormat="false" ht="23.85" hidden="false" customHeight="false" outlineLevel="0" collapsed="false">
      <c r="A61" s="11" t="n">
        <v>141</v>
      </c>
      <c r="B61" s="11" t="s">
        <v>874</v>
      </c>
      <c r="C61" s="11" t="s">
        <v>875</v>
      </c>
      <c r="D61" s="11" t="s">
        <v>71</v>
      </c>
      <c r="E61" s="11" t="s">
        <v>722</v>
      </c>
      <c r="F61" s="11" t="s">
        <v>830</v>
      </c>
      <c r="G61" s="13" t="s">
        <v>724</v>
      </c>
      <c r="H61" s="13"/>
      <c r="I61" s="11" t="s">
        <v>876</v>
      </c>
    </row>
    <row r="62" customFormat="false" ht="15" hidden="false" customHeight="false" outlineLevel="0" collapsed="false">
      <c r="A62" s="11" t="s">
        <v>57</v>
      </c>
      <c r="B62" s="11" t="s">
        <v>877</v>
      </c>
      <c r="C62" s="11" t="s">
        <v>878</v>
      </c>
      <c r="D62" s="11" t="s">
        <v>51</v>
      </c>
      <c r="E62" s="11" t="s">
        <v>794</v>
      </c>
      <c r="F62" s="11" t="s">
        <v>862</v>
      </c>
      <c r="G62" s="13" t="s">
        <v>794</v>
      </c>
      <c r="H62" s="13"/>
      <c r="I62" s="11" t="s">
        <v>879</v>
      </c>
    </row>
    <row r="63" customFormat="false" ht="15" hidden="false" customHeight="false" outlineLevel="0" collapsed="false">
      <c r="A63" s="11" t="n">
        <v>139</v>
      </c>
      <c r="B63" s="11" t="s">
        <v>880</v>
      </c>
      <c r="C63" s="11" t="s">
        <v>881</v>
      </c>
      <c r="D63" s="11" t="s">
        <v>71</v>
      </c>
      <c r="E63" s="11" t="s">
        <v>722</v>
      </c>
      <c r="F63" s="11" t="s">
        <v>830</v>
      </c>
      <c r="G63" s="13" t="s">
        <v>724</v>
      </c>
      <c r="H63" s="13"/>
      <c r="I63" s="11" t="s">
        <v>882</v>
      </c>
    </row>
    <row r="64" customFormat="false" ht="15" hidden="false" customHeight="false" outlineLevel="0" collapsed="false">
      <c r="A64" s="11" t="n">
        <v>138</v>
      </c>
      <c r="B64" s="11" t="s">
        <v>883</v>
      </c>
      <c r="C64" s="11" t="s">
        <v>884</v>
      </c>
      <c r="D64" s="11" t="s">
        <v>71</v>
      </c>
      <c r="E64" s="11" t="s">
        <v>722</v>
      </c>
      <c r="F64" s="11" t="s">
        <v>830</v>
      </c>
      <c r="G64" s="13" t="s">
        <v>724</v>
      </c>
      <c r="H64" s="13"/>
      <c r="I64" s="11" t="s">
        <v>885</v>
      </c>
    </row>
    <row r="65" customFormat="false" ht="15" hidden="false" customHeight="false" outlineLevel="0" collapsed="false">
      <c r="A65" s="11" t="n">
        <v>137</v>
      </c>
      <c r="B65" s="11" t="s">
        <v>886</v>
      </c>
      <c r="C65" s="11" t="s">
        <v>887</v>
      </c>
      <c r="D65" s="11" t="s">
        <v>71</v>
      </c>
      <c r="E65" s="11" t="s">
        <v>794</v>
      </c>
      <c r="F65" s="11" t="s">
        <v>888</v>
      </c>
      <c r="G65" s="13" t="s">
        <v>794</v>
      </c>
      <c r="H65" s="13"/>
      <c r="I65" s="11" t="s">
        <v>889</v>
      </c>
    </row>
    <row r="66" customFormat="false" ht="23.85" hidden="false" customHeight="false" outlineLevel="0" collapsed="false">
      <c r="A66" s="11" t="n">
        <v>136</v>
      </c>
      <c r="B66" s="11" t="s">
        <v>890</v>
      </c>
      <c r="C66" s="11" t="s">
        <v>891</v>
      </c>
      <c r="D66" s="11" t="s">
        <v>71</v>
      </c>
      <c r="E66" s="11" t="s">
        <v>794</v>
      </c>
      <c r="F66" s="11" t="s">
        <v>892</v>
      </c>
      <c r="G66" s="13" t="s">
        <v>794</v>
      </c>
      <c r="H66" s="13"/>
      <c r="I66" s="11" t="s">
        <v>893</v>
      </c>
    </row>
    <row r="67" customFormat="false" ht="15" hidden="false" customHeight="false" outlineLevel="0" collapsed="false">
      <c r="A67" s="11" t="n">
        <v>135</v>
      </c>
      <c r="B67" s="11" t="s">
        <v>894</v>
      </c>
      <c r="C67" s="11" t="s">
        <v>895</v>
      </c>
      <c r="D67" s="11" t="s">
        <v>71</v>
      </c>
      <c r="E67" s="11" t="s">
        <v>687</v>
      </c>
      <c r="F67" s="11" t="s">
        <v>896</v>
      </c>
      <c r="G67" s="13" t="s">
        <v>687</v>
      </c>
      <c r="H67" s="13"/>
      <c r="I67" s="11" t="s">
        <v>897</v>
      </c>
    </row>
    <row r="68" customFormat="false" ht="23.85" hidden="false" customHeight="false" outlineLevel="0" collapsed="false">
      <c r="A68" s="11" t="n">
        <v>134</v>
      </c>
      <c r="B68" s="11" t="s">
        <v>898</v>
      </c>
      <c r="C68" s="11" t="s">
        <v>899</v>
      </c>
      <c r="D68" s="11" t="s">
        <v>71</v>
      </c>
      <c r="E68" s="11" t="s">
        <v>722</v>
      </c>
      <c r="F68" s="11" t="s">
        <v>900</v>
      </c>
      <c r="G68" s="13" t="s">
        <v>724</v>
      </c>
      <c r="H68" s="13"/>
      <c r="I68" s="11" t="s">
        <v>901</v>
      </c>
    </row>
    <row r="69" customFormat="false" ht="15" hidden="false" customHeight="false" outlineLevel="0" collapsed="false">
      <c r="A69" s="11" t="s">
        <v>57</v>
      </c>
      <c r="B69" s="11" t="s">
        <v>902</v>
      </c>
      <c r="C69" s="11" t="s">
        <v>903</v>
      </c>
      <c r="D69" s="11" t="s">
        <v>51</v>
      </c>
      <c r="E69" s="11" t="s">
        <v>794</v>
      </c>
      <c r="F69" s="11" t="s">
        <v>862</v>
      </c>
      <c r="G69" s="13" t="s">
        <v>794</v>
      </c>
      <c r="H69" s="13"/>
      <c r="I69" s="11" t="s">
        <v>904</v>
      </c>
    </row>
    <row r="70" customFormat="false" ht="23.85" hidden="false" customHeight="false" outlineLevel="0" collapsed="false">
      <c r="A70" s="11" t="n">
        <v>133</v>
      </c>
      <c r="B70" s="11" t="s">
        <v>905</v>
      </c>
      <c r="C70" s="11" t="s">
        <v>906</v>
      </c>
      <c r="D70" s="11" t="s">
        <v>71</v>
      </c>
      <c r="E70" s="11" t="s">
        <v>722</v>
      </c>
      <c r="F70" s="11" t="s">
        <v>907</v>
      </c>
      <c r="G70" s="13" t="s">
        <v>724</v>
      </c>
      <c r="H70" s="13"/>
      <c r="I70" s="11" t="s">
        <v>908</v>
      </c>
    </row>
    <row r="71" customFormat="false" ht="15" hidden="false" customHeight="false" outlineLevel="0" collapsed="false">
      <c r="A71" s="11" t="n">
        <v>132</v>
      </c>
      <c r="B71" s="11" t="s">
        <v>909</v>
      </c>
      <c r="C71" s="11" t="s">
        <v>910</v>
      </c>
      <c r="D71" s="11" t="s">
        <v>71</v>
      </c>
      <c r="E71" s="11" t="s">
        <v>722</v>
      </c>
      <c r="F71" s="11" t="s">
        <v>900</v>
      </c>
      <c r="G71" s="13" t="s">
        <v>724</v>
      </c>
      <c r="H71" s="13"/>
      <c r="I71" s="11" t="s">
        <v>911</v>
      </c>
    </row>
    <row r="72" customFormat="false" ht="15" hidden="false" customHeight="false" outlineLevel="0" collapsed="false">
      <c r="A72" s="11" t="n">
        <v>131</v>
      </c>
      <c r="B72" s="11" t="s">
        <v>912</v>
      </c>
      <c r="C72" s="11" t="s">
        <v>913</v>
      </c>
      <c r="D72" s="11" t="s">
        <v>71</v>
      </c>
      <c r="E72" s="11" t="s">
        <v>794</v>
      </c>
      <c r="F72" s="11" t="s">
        <v>914</v>
      </c>
      <c r="G72" s="13" t="s">
        <v>794</v>
      </c>
      <c r="H72" s="13"/>
      <c r="I72" s="11" t="s">
        <v>915</v>
      </c>
    </row>
    <row r="73" customFormat="false" ht="15" hidden="false" customHeight="false" outlineLevel="0" collapsed="false">
      <c r="A73" s="11" t="n">
        <v>130</v>
      </c>
      <c r="B73" s="11" t="s">
        <v>916</v>
      </c>
      <c r="C73" s="11" t="s">
        <v>917</v>
      </c>
      <c r="D73" s="11" t="s">
        <v>71</v>
      </c>
      <c r="E73" s="11" t="s">
        <v>794</v>
      </c>
      <c r="F73" s="11" t="s">
        <v>918</v>
      </c>
      <c r="G73" s="13" t="s">
        <v>794</v>
      </c>
      <c r="H73" s="13"/>
      <c r="I73" s="11" t="s">
        <v>919</v>
      </c>
    </row>
    <row r="74" customFormat="false" ht="23.85" hidden="false" customHeight="false" outlineLevel="0" collapsed="false">
      <c r="A74" s="11" t="n">
        <v>129</v>
      </c>
      <c r="B74" s="11" t="s">
        <v>920</v>
      </c>
      <c r="C74" s="11" t="s">
        <v>921</v>
      </c>
      <c r="D74" s="11" t="s">
        <v>71</v>
      </c>
      <c r="E74" s="11" t="s">
        <v>794</v>
      </c>
      <c r="F74" s="11" t="s">
        <v>922</v>
      </c>
      <c r="G74" s="13" t="s">
        <v>794</v>
      </c>
      <c r="H74" s="13"/>
      <c r="I74" s="11" t="s">
        <v>923</v>
      </c>
    </row>
    <row r="75" customFormat="false" ht="15" hidden="false" customHeight="false" outlineLevel="0" collapsed="false">
      <c r="A75" s="11" t="n">
        <v>128</v>
      </c>
      <c r="B75" s="11" t="s">
        <v>924</v>
      </c>
      <c r="C75" s="11" t="s">
        <v>925</v>
      </c>
      <c r="D75" s="11" t="s">
        <v>71</v>
      </c>
      <c r="E75" s="11" t="s">
        <v>722</v>
      </c>
      <c r="F75" s="11" t="s">
        <v>926</v>
      </c>
      <c r="G75" s="13" t="s">
        <v>724</v>
      </c>
      <c r="H75" s="13"/>
      <c r="I75" s="11" t="s">
        <v>927</v>
      </c>
    </row>
    <row r="76" customFormat="false" ht="15" hidden="false" customHeight="false" outlineLevel="0" collapsed="false">
      <c r="A76" s="11" t="n">
        <v>127</v>
      </c>
      <c r="B76" s="11" t="s">
        <v>928</v>
      </c>
      <c r="C76" s="11" t="s">
        <v>929</v>
      </c>
      <c r="D76" s="11" t="s">
        <v>71</v>
      </c>
      <c r="E76" s="11" t="s">
        <v>722</v>
      </c>
      <c r="F76" s="11" t="s">
        <v>900</v>
      </c>
      <c r="G76" s="13" t="s">
        <v>724</v>
      </c>
      <c r="H76" s="13"/>
      <c r="I76" s="11" t="s">
        <v>930</v>
      </c>
    </row>
    <row r="77" customFormat="false" ht="23.85" hidden="false" customHeight="false" outlineLevel="0" collapsed="false">
      <c r="A77" s="11" t="n">
        <v>126</v>
      </c>
      <c r="B77" s="11" t="s">
        <v>931</v>
      </c>
      <c r="C77" s="11" t="s">
        <v>932</v>
      </c>
      <c r="D77" s="11" t="s">
        <v>71</v>
      </c>
      <c r="E77" s="11" t="s">
        <v>687</v>
      </c>
      <c r="F77" s="11" t="s">
        <v>933</v>
      </c>
      <c r="G77" s="13" t="s">
        <v>687</v>
      </c>
      <c r="H77" s="13"/>
      <c r="I77" s="11" t="s">
        <v>934</v>
      </c>
    </row>
    <row r="78" customFormat="false" ht="15" hidden="false" customHeight="false" outlineLevel="0" collapsed="false">
      <c r="A78" s="11" t="n">
        <v>125</v>
      </c>
      <c r="B78" s="11" t="s">
        <v>935</v>
      </c>
      <c r="C78" s="11" t="s">
        <v>936</v>
      </c>
      <c r="D78" s="11" t="s">
        <v>71</v>
      </c>
      <c r="E78" s="11" t="s">
        <v>722</v>
      </c>
      <c r="F78" s="11" t="s">
        <v>937</v>
      </c>
      <c r="G78" s="13" t="s">
        <v>724</v>
      </c>
      <c r="H78" s="13"/>
      <c r="I78" s="11" t="s">
        <v>938</v>
      </c>
    </row>
    <row r="79" customFormat="false" ht="15" hidden="false" customHeight="false" outlineLevel="0" collapsed="false">
      <c r="A79" s="11" t="n">
        <v>124</v>
      </c>
      <c r="B79" s="11" t="s">
        <v>939</v>
      </c>
      <c r="C79" s="11" t="s">
        <v>940</v>
      </c>
      <c r="D79" s="11" t="s">
        <v>71</v>
      </c>
      <c r="E79" s="11" t="s">
        <v>794</v>
      </c>
      <c r="F79" s="11" t="s">
        <v>941</v>
      </c>
      <c r="G79" s="13" t="s">
        <v>794</v>
      </c>
      <c r="H79" s="13"/>
      <c r="I79" s="11" t="s">
        <v>942</v>
      </c>
    </row>
    <row r="80" customFormat="false" ht="15" hidden="false" customHeight="false" outlineLevel="0" collapsed="false">
      <c r="A80" s="11" t="s">
        <v>57</v>
      </c>
      <c r="B80" s="11" t="s">
        <v>943</v>
      </c>
      <c r="C80" s="11" t="s">
        <v>944</v>
      </c>
      <c r="D80" s="11" t="s">
        <v>51</v>
      </c>
      <c r="E80" s="11" t="s">
        <v>794</v>
      </c>
      <c r="F80" s="11" t="s">
        <v>862</v>
      </c>
      <c r="G80" s="13" t="s">
        <v>794</v>
      </c>
      <c r="H80" s="13"/>
      <c r="I80" s="11" t="s">
        <v>945</v>
      </c>
    </row>
    <row r="81" customFormat="false" ht="15" hidden="false" customHeight="false" outlineLevel="0" collapsed="false">
      <c r="A81" s="11" t="n">
        <v>122</v>
      </c>
      <c r="B81" s="11" t="s">
        <v>946</v>
      </c>
      <c r="C81" s="11" t="s">
        <v>947</v>
      </c>
      <c r="D81" s="11" t="s">
        <v>71</v>
      </c>
      <c r="E81" s="11" t="s">
        <v>794</v>
      </c>
      <c r="F81" s="11" t="s">
        <v>918</v>
      </c>
      <c r="G81" s="13" t="s">
        <v>794</v>
      </c>
      <c r="H81" s="13"/>
      <c r="I81" s="11" t="s">
        <v>948</v>
      </c>
    </row>
    <row r="82" customFormat="false" ht="23.85" hidden="false" customHeight="false" outlineLevel="0" collapsed="false">
      <c r="A82" s="11" t="n">
        <v>121</v>
      </c>
      <c r="B82" s="11" t="s">
        <v>949</v>
      </c>
      <c r="C82" s="11" t="s">
        <v>950</v>
      </c>
      <c r="D82" s="11" t="s">
        <v>71</v>
      </c>
      <c r="E82" s="11" t="s">
        <v>794</v>
      </c>
      <c r="F82" s="11" t="s">
        <v>918</v>
      </c>
      <c r="G82" s="13" t="s">
        <v>794</v>
      </c>
      <c r="H82" s="13"/>
      <c r="I82" s="11" t="s">
        <v>951</v>
      </c>
    </row>
    <row r="83" customFormat="false" ht="15" hidden="false" customHeight="false" outlineLevel="0" collapsed="false">
      <c r="A83" s="11" t="n">
        <v>120</v>
      </c>
      <c r="B83" s="11" t="s">
        <v>952</v>
      </c>
      <c r="C83" s="11" t="s">
        <v>953</v>
      </c>
      <c r="D83" s="11" t="s">
        <v>71</v>
      </c>
      <c r="E83" s="11" t="s">
        <v>794</v>
      </c>
      <c r="F83" s="11" t="s">
        <v>954</v>
      </c>
      <c r="G83" s="13" t="s">
        <v>794</v>
      </c>
      <c r="H83" s="13"/>
      <c r="I83" s="11" t="s">
        <v>955</v>
      </c>
    </row>
    <row r="84" customFormat="false" ht="23.85" hidden="false" customHeight="false" outlineLevel="0" collapsed="false">
      <c r="A84" s="11" t="n">
        <v>119</v>
      </c>
      <c r="B84" s="11" t="s">
        <v>956</v>
      </c>
      <c r="C84" s="11" t="s">
        <v>957</v>
      </c>
      <c r="D84" s="11" t="s">
        <v>71</v>
      </c>
      <c r="E84" s="11" t="s">
        <v>722</v>
      </c>
      <c r="F84" s="11" t="s">
        <v>926</v>
      </c>
      <c r="G84" s="13" t="s">
        <v>724</v>
      </c>
      <c r="H84" s="13"/>
      <c r="I84" s="11" t="s">
        <v>958</v>
      </c>
    </row>
    <row r="85" customFormat="false" ht="15" hidden="false" customHeight="false" outlineLevel="0" collapsed="false">
      <c r="A85" s="11" t="n">
        <v>118</v>
      </c>
      <c r="B85" s="11" t="s">
        <v>959</v>
      </c>
      <c r="C85" s="11" t="s">
        <v>960</v>
      </c>
      <c r="D85" s="11" t="s">
        <v>71</v>
      </c>
      <c r="E85" s="11" t="s">
        <v>722</v>
      </c>
      <c r="F85" s="11" t="s">
        <v>900</v>
      </c>
      <c r="G85" s="13" t="s">
        <v>724</v>
      </c>
      <c r="H85" s="13"/>
      <c r="I85" s="11" t="s">
        <v>961</v>
      </c>
    </row>
    <row r="86" customFormat="false" ht="15" hidden="false" customHeight="false" outlineLevel="0" collapsed="false">
      <c r="A86" s="11" t="n">
        <v>117</v>
      </c>
      <c r="B86" s="11" t="s">
        <v>962</v>
      </c>
      <c r="C86" s="11" t="s">
        <v>963</v>
      </c>
      <c r="D86" s="11" t="s">
        <v>71</v>
      </c>
      <c r="E86" s="11" t="s">
        <v>794</v>
      </c>
      <c r="F86" s="11" t="s">
        <v>964</v>
      </c>
      <c r="G86" s="13" t="s">
        <v>794</v>
      </c>
      <c r="H86" s="13"/>
      <c r="I86" s="11" t="s">
        <v>965</v>
      </c>
    </row>
    <row r="87" customFormat="false" ht="15" hidden="false" customHeight="false" outlineLevel="0" collapsed="false">
      <c r="A87" s="11" t="n">
        <v>116</v>
      </c>
      <c r="B87" s="11" t="s">
        <v>966</v>
      </c>
      <c r="C87" s="11" t="s">
        <v>967</v>
      </c>
      <c r="D87" s="11" t="s">
        <v>71</v>
      </c>
      <c r="E87" s="11" t="s">
        <v>722</v>
      </c>
      <c r="F87" s="11" t="s">
        <v>968</v>
      </c>
      <c r="G87" s="13" t="s">
        <v>724</v>
      </c>
      <c r="H87" s="13"/>
      <c r="I87" s="11" t="s">
        <v>969</v>
      </c>
    </row>
    <row r="88" customFormat="false" ht="15" hidden="false" customHeight="false" outlineLevel="0" collapsed="false">
      <c r="A88" s="11" t="n">
        <v>115</v>
      </c>
      <c r="B88" s="11" t="s">
        <v>970</v>
      </c>
      <c r="C88" s="11" t="s">
        <v>971</v>
      </c>
      <c r="D88" s="11" t="s">
        <v>71</v>
      </c>
      <c r="E88" s="11" t="s">
        <v>794</v>
      </c>
      <c r="F88" s="11" t="s">
        <v>972</v>
      </c>
      <c r="G88" s="13" t="s">
        <v>794</v>
      </c>
      <c r="H88" s="13"/>
      <c r="I88" s="11" t="s">
        <v>973</v>
      </c>
    </row>
    <row r="89" customFormat="false" ht="23.85" hidden="false" customHeight="false" outlineLevel="0" collapsed="false">
      <c r="A89" s="11" t="n">
        <v>114</v>
      </c>
      <c r="B89" s="11" t="s">
        <v>974</v>
      </c>
      <c r="C89" s="11" t="s">
        <v>975</v>
      </c>
      <c r="D89" s="11" t="s">
        <v>71</v>
      </c>
      <c r="E89" s="11" t="s">
        <v>687</v>
      </c>
      <c r="F89" s="11" t="s">
        <v>848</v>
      </c>
      <c r="G89" s="13" t="s">
        <v>687</v>
      </c>
      <c r="H89" s="13"/>
      <c r="I89" s="11" t="s">
        <v>976</v>
      </c>
    </row>
    <row r="90" customFormat="false" ht="15" hidden="false" customHeight="false" outlineLevel="0" collapsed="false">
      <c r="A90" s="11" t="n">
        <v>113</v>
      </c>
      <c r="B90" s="11" t="s">
        <v>977</v>
      </c>
      <c r="C90" s="11" t="s">
        <v>978</v>
      </c>
      <c r="D90" s="11" t="s">
        <v>71</v>
      </c>
      <c r="E90" s="11" t="s">
        <v>722</v>
      </c>
      <c r="F90" s="11" t="s">
        <v>900</v>
      </c>
      <c r="G90" s="13" t="s">
        <v>724</v>
      </c>
      <c r="H90" s="13"/>
      <c r="I90" s="11" t="s">
        <v>979</v>
      </c>
    </row>
    <row r="91" customFormat="false" ht="15" hidden="false" customHeight="false" outlineLevel="0" collapsed="false">
      <c r="A91" s="11" t="n">
        <v>112</v>
      </c>
      <c r="B91" s="11" t="s">
        <v>980</v>
      </c>
      <c r="C91" s="11" t="s">
        <v>981</v>
      </c>
      <c r="D91" s="11" t="s">
        <v>71</v>
      </c>
      <c r="E91" s="11" t="s">
        <v>794</v>
      </c>
      <c r="F91" s="11" t="s">
        <v>918</v>
      </c>
      <c r="G91" s="13" t="s">
        <v>794</v>
      </c>
      <c r="H91" s="13"/>
      <c r="I91" s="11" t="s">
        <v>982</v>
      </c>
    </row>
    <row r="92" customFormat="false" ht="15" hidden="false" customHeight="false" outlineLevel="0" collapsed="false">
      <c r="A92" s="11" t="n">
        <v>111</v>
      </c>
      <c r="B92" s="11" t="s">
        <v>983</v>
      </c>
      <c r="C92" s="11" t="s">
        <v>984</v>
      </c>
      <c r="D92" s="11" t="s">
        <v>71</v>
      </c>
      <c r="E92" s="11" t="s">
        <v>794</v>
      </c>
      <c r="F92" s="11" t="s">
        <v>985</v>
      </c>
      <c r="G92" s="13" t="s">
        <v>794</v>
      </c>
      <c r="H92" s="13"/>
      <c r="I92" s="11" t="s">
        <v>986</v>
      </c>
    </row>
    <row r="93" customFormat="false" ht="15" hidden="false" customHeight="false" outlineLevel="0" collapsed="false">
      <c r="A93" s="11" t="n">
        <v>110</v>
      </c>
      <c r="B93" s="11" t="s">
        <v>987</v>
      </c>
      <c r="C93" s="11" t="s">
        <v>988</v>
      </c>
      <c r="D93" s="11" t="s">
        <v>71</v>
      </c>
      <c r="E93" s="11" t="s">
        <v>794</v>
      </c>
      <c r="F93" s="11" t="s">
        <v>989</v>
      </c>
      <c r="G93" s="13" t="s">
        <v>794</v>
      </c>
      <c r="H93" s="13"/>
      <c r="I93" s="11" t="s">
        <v>990</v>
      </c>
    </row>
    <row r="94" customFormat="false" ht="15" hidden="false" customHeight="false" outlineLevel="0" collapsed="false">
      <c r="A94" s="11" t="n">
        <v>109</v>
      </c>
      <c r="B94" s="11" t="s">
        <v>991</v>
      </c>
      <c r="C94" s="11" t="s">
        <v>992</v>
      </c>
      <c r="D94" s="11" t="s">
        <v>71</v>
      </c>
      <c r="E94" s="11" t="s">
        <v>794</v>
      </c>
      <c r="F94" s="11" t="s">
        <v>918</v>
      </c>
      <c r="G94" s="13" t="s">
        <v>794</v>
      </c>
      <c r="H94" s="13"/>
      <c r="I94" s="11" t="s">
        <v>993</v>
      </c>
    </row>
    <row r="95" customFormat="false" ht="15" hidden="false" customHeight="false" outlineLevel="0" collapsed="false">
      <c r="A95" s="11" t="n">
        <v>108</v>
      </c>
      <c r="B95" s="11" t="s">
        <v>994</v>
      </c>
      <c r="C95" s="11" t="s">
        <v>995</v>
      </c>
      <c r="D95" s="11" t="s">
        <v>71</v>
      </c>
      <c r="E95" s="11" t="s">
        <v>794</v>
      </c>
      <c r="F95" s="11" t="s">
        <v>918</v>
      </c>
      <c r="G95" s="13" t="s">
        <v>794</v>
      </c>
      <c r="H95" s="13"/>
      <c r="I95" s="11" t="s">
        <v>996</v>
      </c>
    </row>
    <row r="96" customFormat="false" ht="15" hidden="false" customHeight="false" outlineLevel="0" collapsed="false">
      <c r="A96" s="11" t="n">
        <v>107</v>
      </c>
      <c r="B96" s="11" t="s">
        <v>997</v>
      </c>
      <c r="C96" s="11" t="s">
        <v>998</v>
      </c>
      <c r="D96" s="11" t="s">
        <v>71</v>
      </c>
      <c r="E96" s="11" t="s">
        <v>722</v>
      </c>
      <c r="F96" s="11" t="s">
        <v>900</v>
      </c>
      <c r="G96" s="13" t="s">
        <v>724</v>
      </c>
      <c r="H96" s="13"/>
      <c r="I96" s="11" t="s">
        <v>999</v>
      </c>
    </row>
    <row r="97" customFormat="false" ht="15" hidden="false" customHeight="false" outlineLevel="0" collapsed="false">
      <c r="A97" s="11" t="n">
        <v>106</v>
      </c>
      <c r="B97" s="11" t="s">
        <v>1000</v>
      </c>
      <c r="C97" s="11" t="s">
        <v>1001</v>
      </c>
      <c r="D97" s="11" t="s">
        <v>71</v>
      </c>
      <c r="E97" s="11" t="s">
        <v>794</v>
      </c>
      <c r="F97" s="11" t="s">
        <v>918</v>
      </c>
      <c r="G97" s="13" t="s">
        <v>794</v>
      </c>
      <c r="H97" s="13"/>
      <c r="I97" s="11" t="s">
        <v>1002</v>
      </c>
    </row>
    <row r="98" customFormat="false" ht="15" hidden="false" customHeight="false" outlineLevel="0" collapsed="false">
      <c r="A98" s="11" t="n">
        <v>105</v>
      </c>
      <c r="B98" s="11" t="s">
        <v>1003</v>
      </c>
      <c r="C98" s="11" t="s">
        <v>1004</v>
      </c>
      <c r="D98" s="11" t="s">
        <v>71</v>
      </c>
      <c r="E98" s="11" t="s">
        <v>722</v>
      </c>
      <c r="F98" s="11" t="s">
        <v>1005</v>
      </c>
      <c r="G98" s="13" t="s">
        <v>724</v>
      </c>
      <c r="H98" s="13"/>
      <c r="I98" s="11" t="s">
        <v>1006</v>
      </c>
    </row>
    <row r="99" customFormat="false" ht="15" hidden="false" customHeight="false" outlineLevel="0" collapsed="false">
      <c r="A99" s="11" t="n">
        <v>104</v>
      </c>
      <c r="B99" s="11" t="s">
        <v>1007</v>
      </c>
      <c r="C99" s="11" t="s">
        <v>1008</v>
      </c>
      <c r="D99" s="11" t="s">
        <v>71</v>
      </c>
      <c r="E99" s="11" t="s">
        <v>794</v>
      </c>
      <c r="F99" s="11" t="s">
        <v>918</v>
      </c>
      <c r="G99" s="13" t="s">
        <v>794</v>
      </c>
      <c r="H99" s="13"/>
      <c r="I99" s="11" t="s">
        <v>1009</v>
      </c>
    </row>
    <row r="100" customFormat="false" ht="15" hidden="false" customHeight="false" outlineLevel="0" collapsed="false">
      <c r="A100" s="11" t="n">
        <v>103</v>
      </c>
      <c r="B100" s="11" t="s">
        <v>1010</v>
      </c>
      <c r="C100" s="11" t="s">
        <v>1011</v>
      </c>
      <c r="D100" s="11" t="s">
        <v>71</v>
      </c>
      <c r="E100" s="11" t="s">
        <v>794</v>
      </c>
      <c r="F100" s="11" t="s">
        <v>918</v>
      </c>
      <c r="G100" s="13" t="s">
        <v>794</v>
      </c>
      <c r="H100" s="13"/>
      <c r="I100" s="11" t="s">
        <v>1012</v>
      </c>
    </row>
    <row r="101" customFormat="false" ht="15" hidden="false" customHeight="false" outlineLevel="0" collapsed="false">
      <c r="A101" s="11" t="n">
        <v>102</v>
      </c>
      <c r="B101" s="11" t="s">
        <v>1013</v>
      </c>
      <c r="C101" s="11" t="s">
        <v>1014</v>
      </c>
      <c r="D101" s="11" t="s">
        <v>71</v>
      </c>
      <c r="E101" s="11" t="s">
        <v>794</v>
      </c>
      <c r="F101" s="11" t="s">
        <v>918</v>
      </c>
      <c r="G101" s="13" t="s">
        <v>794</v>
      </c>
      <c r="H101" s="13"/>
      <c r="I101" s="11" t="s">
        <v>1015</v>
      </c>
    </row>
    <row r="102" customFormat="false" ht="15" hidden="false" customHeight="false" outlineLevel="0" collapsed="false">
      <c r="A102" s="11" t="n">
        <v>101</v>
      </c>
      <c r="B102" s="11" t="s">
        <v>1016</v>
      </c>
      <c r="C102" s="11" t="s">
        <v>1017</v>
      </c>
      <c r="D102" s="11" t="s">
        <v>71</v>
      </c>
      <c r="E102" s="11" t="s">
        <v>794</v>
      </c>
      <c r="F102" s="11" t="s">
        <v>918</v>
      </c>
      <c r="G102" s="13" t="s">
        <v>794</v>
      </c>
      <c r="H102" s="13"/>
      <c r="I102" s="11" t="s">
        <v>1018</v>
      </c>
    </row>
    <row r="103" customFormat="false" ht="15" hidden="false" customHeight="false" outlineLevel="0" collapsed="false">
      <c r="A103" s="11" t="n">
        <v>100</v>
      </c>
      <c r="B103" s="11" t="s">
        <v>1019</v>
      </c>
      <c r="C103" s="11" t="s">
        <v>1020</v>
      </c>
      <c r="D103" s="11" t="s">
        <v>71</v>
      </c>
      <c r="E103" s="11" t="s">
        <v>794</v>
      </c>
      <c r="F103" s="11" t="s">
        <v>918</v>
      </c>
      <c r="G103" s="13" t="s">
        <v>794</v>
      </c>
      <c r="H103" s="13"/>
      <c r="I103" s="11" t="s">
        <v>1021</v>
      </c>
    </row>
    <row r="104" customFormat="false" ht="15" hidden="false" customHeight="false" outlineLevel="0" collapsed="false">
      <c r="A104" s="11" t="n">
        <v>99</v>
      </c>
      <c r="B104" s="11" t="s">
        <v>1022</v>
      </c>
      <c r="C104" s="11" t="s">
        <v>1023</v>
      </c>
      <c r="D104" s="11" t="s">
        <v>71</v>
      </c>
      <c r="E104" s="11" t="s">
        <v>794</v>
      </c>
      <c r="F104" s="11" t="s">
        <v>918</v>
      </c>
      <c r="G104" s="13" t="s">
        <v>794</v>
      </c>
      <c r="H104" s="13"/>
      <c r="I104" s="11" t="s">
        <v>1024</v>
      </c>
    </row>
    <row r="105" customFormat="false" ht="15" hidden="false" customHeight="false" outlineLevel="0" collapsed="false">
      <c r="A105" s="11" t="n">
        <v>98</v>
      </c>
      <c r="B105" s="11" t="s">
        <v>1025</v>
      </c>
      <c r="C105" s="11" t="s">
        <v>1026</v>
      </c>
      <c r="D105" s="11" t="s">
        <v>71</v>
      </c>
      <c r="E105" s="11" t="s">
        <v>794</v>
      </c>
      <c r="F105" s="11" t="s">
        <v>918</v>
      </c>
      <c r="G105" s="13" t="s">
        <v>794</v>
      </c>
      <c r="H105" s="13"/>
      <c r="I105" s="11" t="s">
        <v>1027</v>
      </c>
    </row>
    <row r="106" customFormat="false" ht="15" hidden="false" customHeight="false" outlineLevel="0" collapsed="false">
      <c r="A106" s="11" t="n">
        <v>97</v>
      </c>
      <c r="B106" s="11" t="s">
        <v>1028</v>
      </c>
      <c r="C106" s="11" t="s">
        <v>1029</v>
      </c>
      <c r="D106" s="11" t="s">
        <v>71</v>
      </c>
      <c r="E106" s="11" t="s">
        <v>794</v>
      </c>
      <c r="F106" s="11" t="s">
        <v>918</v>
      </c>
      <c r="G106" s="13" t="s">
        <v>794</v>
      </c>
      <c r="H106" s="13"/>
      <c r="I106" s="11" t="s">
        <v>1030</v>
      </c>
    </row>
    <row r="107" customFormat="false" ht="15" hidden="false" customHeight="false" outlineLevel="0" collapsed="false">
      <c r="A107" s="11" t="n">
        <v>96</v>
      </c>
      <c r="B107" s="11" t="s">
        <v>1031</v>
      </c>
      <c r="C107" s="11" t="s">
        <v>1032</v>
      </c>
      <c r="D107" s="11" t="s">
        <v>71</v>
      </c>
      <c r="E107" s="11" t="s">
        <v>794</v>
      </c>
      <c r="F107" s="11" t="s">
        <v>918</v>
      </c>
      <c r="G107" s="13" t="s">
        <v>794</v>
      </c>
      <c r="H107" s="13"/>
      <c r="I107" s="11" t="s">
        <v>1033</v>
      </c>
    </row>
    <row r="108" customFormat="false" ht="23.85" hidden="false" customHeight="false" outlineLevel="0" collapsed="false">
      <c r="A108" s="11" t="n">
        <v>95</v>
      </c>
      <c r="B108" s="11" t="s">
        <v>1034</v>
      </c>
      <c r="C108" s="11" t="s">
        <v>1035</v>
      </c>
      <c r="D108" s="11" t="s">
        <v>71</v>
      </c>
      <c r="E108" s="11" t="s">
        <v>722</v>
      </c>
      <c r="F108" s="11" t="s">
        <v>1036</v>
      </c>
      <c r="G108" s="13" t="s">
        <v>724</v>
      </c>
      <c r="H108" s="13"/>
      <c r="I108" s="11" t="s">
        <v>1037</v>
      </c>
    </row>
    <row r="109" customFormat="false" ht="15" hidden="false" customHeight="false" outlineLevel="0" collapsed="false">
      <c r="A109" s="11" t="n">
        <v>94</v>
      </c>
      <c r="B109" s="11" t="s">
        <v>1038</v>
      </c>
      <c r="C109" s="11" t="s">
        <v>1039</v>
      </c>
      <c r="D109" s="11" t="s">
        <v>71</v>
      </c>
      <c r="E109" s="11" t="s">
        <v>794</v>
      </c>
      <c r="F109" s="11" t="s">
        <v>918</v>
      </c>
      <c r="G109" s="13" t="s">
        <v>794</v>
      </c>
      <c r="H109" s="13"/>
      <c r="I109" s="11" t="s">
        <v>1040</v>
      </c>
    </row>
    <row r="110" customFormat="false" ht="15" hidden="false" customHeight="false" outlineLevel="0" collapsed="false">
      <c r="A110" s="11" t="n">
        <v>93</v>
      </c>
      <c r="B110" s="11" t="s">
        <v>1041</v>
      </c>
      <c r="C110" s="11" t="s">
        <v>1042</v>
      </c>
      <c r="D110" s="11" t="s">
        <v>71</v>
      </c>
      <c r="E110" s="11" t="s">
        <v>794</v>
      </c>
      <c r="F110" s="11" t="s">
        <v>918</v>
      </c>
      <c r="G110" s="13" t="s">
        <v>794</v>
      </c>
      <c r="H110" s="13"/>
      <c r="I110" s="11" t="s">
        <v>1043</v>
      </c>
    </row>
    <row r="111" customFormat="false" ht="15" hidden="false" customHeight="false" outlineLevel="0" collapsed="false">
      <c r="A111" s="11" t="n">
        <v>92</v>
      </c>
      <c r="B111" s="11" t="s">
        <v>1044</v>
      </c>
      <c r="C111" s="11" t="s">
        <v>1045</v>
      </c>
      <c r="D111" s="11" t="s">
        <v>71</v>
      </c>
      <c r="E111" s="11" t="s">
        <v>794</v>
      </c>
      <c r="F111" s="11" t="s">
        <v>918</v>
      </c>
      <c r="G111" s="13" t="s">
        <v>794</v>
      </c>
      <c r="H111" s="13"/>
      <c r="I111" s="11" t="s">
        <v>1046</v>
      </c>
    </row>
    <row r="112" customFormat="false" ht="15" hidden="false" customHeight="false" outlineLevel="0" collapsed="false">
      <c r="A112" s="11" t="n">
        <v>91</v>
      </c>
      <c r="B112" s="11" t="s">
        <v>1047</v>
      </c>
      <c r="C112" s="11" t="s">
        <v>1048</v>
      </c>
      <c r="D112" s="11" t="s">
        <v>71</v>
      </c>
      <c r="E112" s="11" t="s">
        <v>794</v>
      </c>
      <c r="F112" s="11" t="s">
        <v>918</v>
      </c>
      <c r="G112" s="13" t="s">
        <v>794</v>
      </c>
      <c r="H112" s="13"/>
      <c r="I112" s="11" t="s">
        <v>1049</v>
      </c>
    </row>
    <row r="113" customFormat="false" ht="15" hidden="false" customHeight="false" outlineLevel="0" collapsed="false">
      <c r="A113" s="11" t="n">
        <v>90</v>
      </c>
      <c r="B113" s="11" t="s">
        <v>1050</v>
      </c>
      <c r="C113" s="11" t="s">
        <v>1051</v>
      </c>
      <c r="D113" s="11" t="s">
        <v>71</v>
      </c>
      <c r="E113" s="11" t="s">
        <v>794</v>
      </c>
      <c r="F113" s="11" t="s">
        <v>918</v>
      </c>
      <c r="G113" s="13" t="s">
        <v>794</v>
      </c>
      <c r="H113" s="13"/>
      <c r="I113" s="11" t="s">
        <v>1052</v>
      </c>
    </row>
    <row r="114" customFormat="false" ht="15" hidden="false" customHeight="false" outlineLevel="0" collapsed="false">
      <c r="A114" s="11" t="n">
        <v>89</v>
      </c>
      <c r="B114" s="11" t="s">
        <v>1053</v>
      </c>
      <c r="C114" s="11" t="s">
        <v>1054</v>
      </c>
      <c r="D114" s="11" t="s">
        <v>71</v>
      </c>
      <c r="E114" s="11" t="s">
        <v>794</v>
      </c>
      <c r="F114" s="11" t="s">
        <v>918</v>
      </c>
      <c r="G114" s="13" t="s">
        <v>794</v>
      </c>
      <c r="H114" s="13"/>
      <c r="I114" s="11" t="s">
        <v>1055</v>
      </c>
    </row>
    <row r="115" customFormat="false" ht="15" hidden="false" customHeight="false" outlineLevel="0" collapsed="false">
      <c r="A115" s="11" t="n">
        <v>88</v>
      </c>
      <c r="B115" s="11" t="s">
        <v>1056</v>
      </c>
      <c r="C115" s="11" t="s">
        <v>1057</v>
      </c>
      <c r="D115" s="11" t="s">
        <v>71</v>
      </c>
      <c r="E115" s="11" t="s">
        <v>794</v>
      </c>
      <c r="F115" s="11" t="s">
        <v>918</v>
      </c>
      <c r="G115" s="13" t="s">
        <v>794</v>
      </c>
      <c r="H115" s="13"/>
      <c r="I115" s="11" t="s">
        <v>1058</v>
      </c>
    </row>
    <row r="116" customFormat="false" ht="15" hidden="false" customHeight="false" outlineLevel="0" collapsed="false">
      <c r="A116" s="11" t="n">
        <v>87</v>
      </c>
      <c r="B116" s="11" t="s">
        <v>1059</v>
      </c>
      <c r="C116" s="11" t="s">
        <v>1060</v>
      </c>
      <c r="D116" s="11" t="s">
        <v>71</v>
      </c>
      <c r="E116" s="11" t="s">
        <v>794</v>
      </c>
      <c r="F116" s="11" t="s">
        <v>918</v>
      </c>
      <c r="G116" s="13" t="s">
        <v>794</v>
      </c>
      <c r="H116" s="13"/>
      <c r="I116" s="11" t="s">
        <v>1061</v>
      </c>
    </row>
    <row r="117" customFormat="false" ht="15" hidden="false" customHeight="false" outlineLevel="0" collapsed="false">
      <c r="A117" s="11" t="n">
        <v>86</v>
      </c>
      <c r="B117" s="11" t="s">
        <v>1062</v>
      </c>
      <c r="C117" s="11" t="s">
        <v>1063</v>
      </c>
      <c r="D117" s="11" t="s">
        <v>71</v>
      </c>
      <c r="E117" s="11" t="s">
        <v>794</v>
      </c>
      <c r="F117" s="11" t="s">
        <v>918</v>
      </c>
      <c r="G117" s="13" t="s">
        <v>794</v>
      </c>
      <c r="H117" s="13"/>
      <c r="I117" s="11" t="s">
        <v>1064</v>
      </c>
    </row>
    <row r="118" customFormat="false" ht="15" hidden="false" customHeight="false" outlineLevel="0" collapsed="false">
      <c r="A118" s="11" t="n">
        <v>85</v>
      </c>
      <c r="B118" s="11" t="s">
        <v>1065</v>
      </c>
      <c r="C118" s="11" t="s">
        <v>1066</v>
      </c>
      <c r="D118" s="11" t="s">
        <v>71</v>
      </c>
      <c r="E118" s="11" t="s">
        <v>794</v>
      </c>
      <c r="F118" s="11" t="s">
        <v>918</v>
      </c>
      <c r="G118" s="13" t="s">
        <v>794</v>
      </c>
      <c r="H118" s="13"/>
      <c r="I118" s="11" t="s">
        <v>1067</v>
      </c>
    </row>
    <row r="119" customFormat="false" ht="15" hidden="false" customHeight="false" outlineLevel="0" collapsed="false">
      <c r="A119" s="11" t="n">
        <v>84</v>
      </c>
      <c r="B119" s="11" t="s">
        <v>1068</v>
      </c>
      <c r="C119" s="11" t="s">
        <v>1069</v>
      </c>
      <c r="D119" s="11" t="s">
        <v>71</v>
      </c>
      <c r="E119" s="11" t="s">
        <v>794</v>
      </c>
      <c r="F119" s="11" t="s">
        <v>918</v>
      </c>
      <c r="G119" s="13" t="s">
        <v>794</v>
      </c>
      <c r="H119" s="13"/>
      <c r="I119" s="11" t="s">
        <v>1070</v>
      </c>
    </row>
  </sheetData>
  <autoFilter ref="A4:I119"/>
  <conditionalFormatting sqref="G5:G119">
    <cfRule type="expression" priority="2" aboveAverage="0" equalAverage="0" bottom="0" percent="0" rank="0" text="" dxfId="5">
      <formula>G5="Garder"</formula>
    </cfRule>
    <cfRule type="expression" priority="3" aboveAverage="0" equalAverage="0" bottom="0" percent="0" rank="0" text="" dxfId="6">
      <formula>G5="Archiver"</formula>
    </cfRule>
    <cfRule type="expression" priority="4" aboveAverage="0" equalAverage="0" bottom="0" percent="0" rank="0" text="" dxfId="7">
      <formula>G5="À revoir"</formula>
    </cfRule>
  </conditionalFormatting>
  <dataValidations count="1">
    <dataValidation allowBlank="true" errorStyle="stop" operator="between" showDropDown="false" showErrorMessage="false" showInputMessage="false" sqref="G5:G119" type="list">
      <formula1>"À décider,Garder,Archiver,À revoir"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2026-10-29T10:38:03Z</dcterms:created>
  <dc:creator>openpyxl</dc:creator>
  <dc:description/>
  <dc:language>en-US</dc:language>
  <cp:lastModifiedBy/>
  <dcterms:modified xsi:type="dcterms:W3CDTF">2026-10-29T10:38:03Z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